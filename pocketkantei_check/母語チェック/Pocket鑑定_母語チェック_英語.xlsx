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Conversations" sheetId="2" state="visible" r:id="rId2"/>
    <sheet name="App fixed texts" sheetId="3" state="visible" r:id="rId3"/>
    <sheet name="Landing page" sheetId="4" state="visible" r:id="rId4"/>
    <sheet name="Summary"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4E8060"/>
      <sz val="16"/>
    </font>
    <font>
      <name val="Arial"/>
      <b val="1"/>
      <sz val="12"/>
    </font>
    <font>
      <name val="Arial"/>
      <sz val="11"/>
    </font>
    <font>
      <name val="Arial"/>
      <color rgb="00666666"/>
      <sz val="10"/>
    </font>
    <font>
      <name val="Arial"/>
      <b val="1"/>
      <color rgb="00FFFFFF"/>
    </font>
    <font>
      <name val="Arial"/>
      <sz val="10"/>
    </font>
    <font>
      <name val="Arial"/>
      <i val="1"/>
      <color rgb="00555555"/>
      <sz val="10"/>
    </font>
    <font>
      <name val="Arial"/>
      <b val="1"/>
      <sz val="11"/>
    </font>
  </fonts>
  <fills count="6">
    <fill>
      <patternFill/>
    </fill>
    <fill>
      <patternFill patternType="gray125"/>
    </fill>
    <fill>
      <patternFill patternType="solid">
        <fgColor rgb="004E8060"/>
      </patternFill>
    </fill>
    <fill>
      <patternFill patternType="solid">
        <fgColor rgb="00EAF2EC"/>
      </patternFill>
    </fill>
    <fill>
      <patternFill patternType="solid">
        <fgColor rgb="00F7F5F0"/>
      </patternFill>
    </fill>
    <fill>
      <patternFill patternType="solid">
        <fgColor rgb="00FFF7D6"/>
      </patternFill>
    </fill>
  </fills>
  <borders count="2">
    <border>
      <left/>
      <right/>
      <top/>
      <bottom/>
      <diagonal/>
    </border>
    <border>
      <left style="thin">
        <color rgb="00D9D4C7"/>
      </left>
      <right style="thin">
        <color rgb="00D9D4C7"/>
      </right>
      <top style="thin">
        <color rgb="00D9D4C7"/>
      </top>
      <bottom style="thin">
        <color rgb="00D9D4C7"/>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wrapText="1"/>
    </xf>
    <xf numFmtId="0" fontId="5" fillId="2" borderId="1" applyAlignment="1" pivotButton="0" quotePrefix="0" xfId="0">
      <alignment vertical="center" wrapText="1"/>
    </xf>
    <xf numFmtId="0" fontId="6" fillId="3" borderId="1" applyAlignment="1" pivotButton="0" quotePrefix="0" xfId="0">
      <alignment vertical="top" wrapText="1"/>
    </xf>
    <xf numFmtId="0" fontId="7" fillId="0" borderId="1" applyAlignment="1" pivotButton="0" quotePrefix="0" xfId="0">
      <alignment vertical="top" wrapText="1"/>
    </xf>
    <xf numFmtId="0" fontId="6" fillId="0"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8" fillId="0" borderId="0" applyAlignment="1" pivotButton="0" quotePrefix="0" xfId="0">
      <alignment wrapText="1"/>
    </xf>
    <xf numFmtId="0" fontId="3" fillId="0" borderId="0" applyAlignment="1" pivotButton="0" quotePrefix="0" xfId="0">
      <alignment wrapText="1"/>
    </xf>
    <xf numFmtId="0" fontId="3" fillId="0" borderId="0" pivotButton="0" quotePrefix="0" xfId="0"/>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Pocket Kantei — English</t>
        </is>
      </c>
    </row>
    <row r="3">
      <c r="A3" s="2" t="inlineStr">
        <is>
          <t>Thank you for helping!</t>
        </is>
      </c>
    </row>
    <row r="5">
      <c r="A5" s="3" t="inlineStr">
        <is>
          <t>Pocket Kantei is a Four Pillars (BaZi) fortune-telling chat app. The fortune teller in the app is called "Nico". She is an adult woman, a professional reader who feels like the user's own personal reader: warm, close, and honest (she does not just agree with everything).</t>
        </is>
      </c>
    </row>
    <row r="6">
      <c r="A6" s="3" t="inlineStr">
        <is>
          <t>All dates, years and fortune results come from a calculation engine. You do NOT need to judge whether the fortune is "correct". Please judge only the LANGUAGE.</t>
        </is>
      </c>
    </row>
    <row r="7">
      <c r="A7" s="2" t="inlineStr">
        <is>
          <t>What to check</t>
        </is>
      </c>
    </row>
    <row r="9">
      <c r="A9" s="3" t="inlineStr">
        <is>
          <t>1. Does it sound natural, like a real person from your country texting? (no translation-like or robotic wording)</t>
        </is>
      </c>
    </row>
    <row r="10">
      <c r="A10" s="3" t="inlineStr">
        <is>
          <t>2. Is anything rude, cold, strange, or culturally inappropriate?</t>
        </is>
      </c>
    </row>
    <row r="11">
      <c r="A11" s="3" t="inlineStr">
        <is>
          <t>3. Speaking style: with a NEW user Nico should be polite. As they talk more, she becomes friendlier, and with a long-time user she is casual. Does the style fit the "Relationship stage" column?</t>
        </is>
      </c>
    </row>
    <row r="12">
      <c r="A12" s="3" t="inlineStr">
        <is>
          <t>4. Her name must always be written "Nico" (in Latin letters) in every language. That is intended.</t>
        </is>
      </c>
    </row>
    <row r="13">
      <c r="A13" s="3" t="inlineStr">
        <is>
          <t>5. Fortune words: do they sound like what a real fortune teller in your country would say?</t>
        </is>
      </c>
    </row>
    <row r="14">
      <c r="A14" s="2" t="inlineStr">
        <is>
          <t>How to fill in</t>
        </is>
      </c>
    </row>
    <row r="16">
      <c r="A16" s="3" t="inlineStr">
        <is>
          <t>Fill in only the YELLOW cells: Naturalness (1 = very unnatural, 5 = perfectly natural), Y/N, your suggested wording, and a comment. Write in your own language. Row 2 of each sheet is an example (green).</t>
        </is>
      </c>
    </row>
    <row r="17">
      <c r="A17" s="3" t="inlineStr">
        <is>
          <t>Sheets: "Conversations" (real AI replies), "App fixed texts" (buttons, greeting, popups, email screens), "Landing page" (the introduction website).</t>
        </is>
      </c>
    </row>
    <row r="18">
      <c r="A18" s="3" t="inlineStr">
        <is>
          <t>Note: AI replies change every time, so please tell us about PATTERNS ("she often says X, but people here would say Y"). This is the most helpful feedback.</t>
        </is>
      </c>
    </row>
    <row r="20">
      <c r="A20" s="4" t="inlineStr">
        <is>
          <t>【運営用メモ（日本語）】黄色のセルだけを記入してもらいます。各シートの2行目（緑）は記入例です。「日本語訳」の列は、運営が内容を追えるように付けたもので、レビューの対象ではありません（AI と開発者による訳）。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0" customWidth="1" min="3" max="3"/>
    <col width="9" customWidth="1" min="4" max="4"/>
    <col width="60" customWidth="1" min="5" max="5"/>
    <col width="50" customWidth="1" min="6" max="6"/>
    <col width="12" customWidth="1" min="7" max="7"/>
    <col width="14" customWidth="1" min="8" max="8"/>
    <col width="40" customWidth="1" min="9" max="9"/>
    <col width="30" customWidth="1" min="10" max="10"/>
  </cols>
  <sheetData>
    <row r="1" ht="34" customHeight="1">
      <c r="A1" s="5" t="inlineStr">
        <is>
          <t>No.</t>
        </is>
      </c>
      <c r="B1" s="5" t="inlineStr">
        <is>
          <t>Scene</t>
        </is>
      </c>
      <c r="C1" s="5" t="inlineStr">
        <is>
          <t>Relationship stage</t>
        </is>
      </c>
      <c r="D1" s="5" t="inlineStr">
        <is>
          <t>Speaker</t>
        </is>
      </c>
      <c r="E1" s="5" t="inlineStr">
        <is>
          <t>Text (check this)</t>
        </is>
      </c>
      <c r="F1" s="5" t="inlineStr">
        <is>
          <t>Japanese (for the operator)</t>
        </is>
      </c>
      <c r="G1" s="5" t="inlineStr">
        <is>
          <t>Naturalness 1-5</t>
        </is>
      </c>
      <c r="H1" s="5" t="inlineStr">
        <is>
          <t>Rude / odd / wrong? (Y/N)</t>
        </is>
      </c>
      <c r="I1" s="5" t="inlineStr">
        <is>
          <t>Your suggested wording</t>
        </is>
      </c>
      <c r="J1" s="5" t="inlineStr">
        <is>
          <t>Comment</t>
        </is>
      </c>
    </row>
    <row r="2">
      <c r="A2" s="6" t="inlineStr">
        <is>
          <t>例</t>
        </is>
      </c>
      <c r="B2" s="6" t="inlineStr">
        <is>
          <t>Getting closer (friendly)</t>
        </is>
      </c>
      <c r="C2" s="6" t="inlineStr">
        <is>
          <t>Warming up (20-59): friendly</t>
        </is>
      </c>
      <c r="D2" s="6" t="inlineStr">
        <is>
          <t>Nico</t>
        </is>
      </c>
      <c r="E2" s="6" t="inlineStr">
        <is>
          <t>That sounds like a perfect way to shift gears.</t>
        </is>
      </c>
      <c r="F2" s="6" t="inlineStr">
        <is>
          <t>（記入例）</t>
        </is>
      </c>
      <c r="G2" s="6" t="n">
        <v>4</v>
      </c>
      <c r="H2" s="6" t="inlineStr">
        <is>
          <t>N</t>
        </is>
      </c>
      <c r="I2" s="6" t="inlineStr">
        <is>
          <t>That sounds like a nice way to switch gears.</t>
        </is>
      </c>
      <c r="J2" s="6" t="inlineStr">
        <is>
          <t>Slightly stiff. Example row.</t>
        </is>
      </c>
    </row>
    <row r="3">
      <c r="A3" s="7" t="n">
        <v>1</v>
      </c>
      <c r="B3" s="7" t="inlineStr">
        <is>
          <t>First meeting (polite)</t>
        </is>
      </c>
      <c r="C3" s="7" t="inlineStr">
        <is>
          <t>New (0-19 msgs): polite</t>
        </is>
      </c>
      <c r="D3" s="7" t="inlineStr">
        <is>
          <t>User</t>
        </is>
      </c>
      <c r="E3" s="7" t="inlineStr">
        <is>
          <t>Hi, nice to meet you</t>
        </is>
      </c>
      <c r="F3" s="7" t="inlineStr">
        <is>
          <t>こんにちは、はじめまして。</t>
        </is>
      </c>
      <c r="G3" s="8" t="n"/>
      <c r="H3" s="8" t="n"/>
      <c r="I3" s="8" t="n"/>
      <c r="J3" s="8" t="n"/>
    </row>
    <row r="4">
      <c r="A4" s="9" t="n">
        <v>2</v>
      </c>
      <c r="B4" s="9" t="inlineStr">
        <is>
          <t>First meeting (polite)</t>
        </is>
      </c>
      <c r="C4" s="9" t="inlineStr">
        <is>
          <t>New (0-19 msgs): polite</t>
        </is>
      </c>
      <c r="D4" s="9" t="inlineStr">
        <is>
          <t>Nico</t>
        </is>
      </c>
      <c r="E4" s="9" t="inlineStr">
        <is>
          <t>Nice to meet you, too! I am so happy we’ve connected here, and I look forward to getting to know you.</t>
        </is>
      </c>
      <c r="F4" s="9" t="inlineStr">
        <is>
          <t>こちらこそ、はじめまして！こうしてご縁ができたことをとても嬉しく思います。あなたにお会いできて光栄です。</t>
        </is>
      </c>
      <c r="G4" s="10" t="n"/>
      <c r="H4" s="10" t="n"/>
      <c r="I4" s="10" t="n"/>
      <c r="J4" s="10" t="n"/>
    </row>
    <row r="5">
      <c r="A5" s="9" t="n">
        <v>3</v>
      </c>
      <c r="B5" s="9" t="inlineStr">
        <is>
          <t>First meeting (polite)</t>
        </is>
      </c>
      <c r="C5" s="9" t="inlineStr">
        <is>
          <t>New (0-19 msgs): polite</t>
        </is>
      </c>
      <c r="D5" s="9" t="inlineStr">
        <is>
          <t>Nico</t>
        </is>
      </c>
      <c r="E5" s="9" t="inlineStr">
        <is>
          <t>I can see from your chart that you are someone with a very versatile and adaptable spirit, which is a wonderful gift. Since today is a day where you might find more success in organizing and refining things rather than rushing into new projects, it’s a perfect time to take a breath and settle into a steady rhythm.</t>
        </is>
      </c>
      <c r="F5" s="9" t="inlineStr">
        <is>
          <t>あなたのホロスコープを見ると、非常に多才で適応力に長けた精神をお持ちであることが分かります。これは素晴らしい才能です。今日は新しいプロジェクトに飛び出すよりも、身の回りの整理整頓や見直しを行う方がうまくいく日ですので、一息ついて落ち着いたリズムを取り戻すのに最適な時間ですよ。</t>
        </is>
      </c>
      <c r="G5" s="10" t="n"/>
      <c r="H5" s="10" t="n"/>
      <c r="I5" s="10" t="n"/>
      <c r="J5" s="10" t="n"/>
    </row>
    <row r="6">
      <c r="A6" s="7" t="n">
        <v>4</v>
      </c>
      <c r="B6" s="7" t="inlineStr">
        <is>
          <t>First meeting (polite)</t>
        </is>
      </c>
      <c r="C6" s="7" t="inlineStr">
        <is>
          <t>New (0-19 msgs): polite</t>
        </is>
      </c>
      <c r="D6" s="7" t="inlineStr">
        <is>
          <t>User</t>
        </is>
      </c>
      <c r="E6" s="7" t="inlineStr">
        <is>
          <t>I'm a bit tired today</t>
        </is>
      </c>
      <c r="F6" s="7" t="inlineStr">
        <is>
          <t>今日は少し疲れています。</t>
        </is>
      </c>
      <c r="G6" s="8" t="n"/>
      <c r="H6" s="8" t="n"/>
      <c r="I6" s="8" t="n"/>
      <c r="J6" s="8" t="n"/>
    </row>
    <row r="7">
      <c r="A7" s="9" t="n">
        <v>5</v>
      </c>
      <c r="B7" s="9" t="inlineStr">
        <is>
          <t>First meeting (polite)</t>
        </is>
      </c>
      <c r="C7" s="9" t="inlineStr">
        <is>
          <t>New (0-19 msgs): polite</t>
        </is>
      </c>
      <c r="D7" s="9" t="inlineStr">
        <is>
          <t>Nico</t>
        </is>
      </c>
      <c r="E7" s="9" t="inlineStr">
        <is>
          <t>I am sorry to hear you are feeling drained; please be extra kind to yourself today. Since your chart shows a strong, natural tendency to take on a lot, it is very common for you to feel this way when your energy is focused on trying to maintain stability in a busy environment.</t>
        </is>
      </c>
      <c r="F7" s="9" t="inlineStr">
        <is>
          <t>お疲れのようで心配です。今日はご自分をたくさん労わってあげてくださいね。あなたにはいろいろなものを抱え込みやすい傾向があるため、忙しい環境の中で安定を保とうとエネルギーを注ぐと、このようにどっと疲れが出てしまいがちなのです。</t>
        </is>
      </c>
      <c r="G7" s="10" t="n"/>
      <c r="H7" s="10" t="n"/>
      <c r="I7" s="10" t="n"/>
      <c r="J7" s="10" t="n"/>
    </row>
    <row r="8">
      <c r="A8" s="9" t="n">
        <v>6</v>
      </c>
      <c r="B8" s="9" t="inlineStr">
        <is>
          <t>First meeting (polite)</t>
        </is>
      </c>
      <c r="C8" s="9" t="inlineStr">
        <is>
          <t>New (0-19 msgs): polite</t>
        </is>
      </c>
      <c r="D8" s="9" t="inlineStr">
        <is>
          <t>Nico</t>
        </is>
      </c>
      <c r="E8" s="9" t="inlineStr">
        <is>
          <t>Today is a day when your natural flow leans toward sorting things out rather than pushing forward, so instead of demanding high productivity from yourself, try focusing on just one small, tangible task that needs closing off. Clearing even a tiny bit of mental or physical clutter will actually help you feel much lighter and more in control.</t>
        </is>
      </c>
      <c r="F8" s="9" t="inlineStr">
        <is>
          <t>今日は無理に前進するよりも、物事を整理整頓する流れに向いています。そのため、自分に高い生産性を求めるのではなく、終わらせるべき小さなタスクを1つだけ終わらせることに集中してみてください。頭や身の回りの不要なものをほんの少しクリアにするだけで、気持ちがずっと軽くなり、自分のペースを取り戻せるはずです。</t>
        </is>
      </c>
      <c r="G8" s="10" t="n"/>
      <c r="H8" s="10" t="n"/>
      <c r="I8" s="10" t="n"/>
      <c r="J8" s="10" t="n"/>
    </row>
    <row r="9">
      <c r="A9" s="7" t="n">
        <v>7</v>
      </c>
      <c r="B9" s="7" t="inlineStr">
        <is>
          <t>First meeting (polite)</t>
        </is>
      </c>
      <c r="C9" s="7" t="inlineStr">
        <is>
          <t>New (0-19 msgs): polite</t>
        </is>
      </c>
      <c r="D9" s="7" t="inlineStr">
        <is>
          <t>User</t>
        </is>
      </c>
      <c r="E9" s="7" t="inlineStr">
        <is>
          <t>Actually my boyfriend and I aren't doing well</t>
        </is>
      </c>
      <c r="F9" s="7" t="inlineStr">
        <is>
          <t>実は、彼氏とうまくいっていなくて。</t>
        </is>
      </c>
      <c r="G9" s="8" t="n"/>
      <c r="H9" s="8" t="n"/>
      <c r="I9" s="8" t="n"/>
      <c r="J9" s="8" t="n"/>
    </row>
    <row r="10">
      <c r="A10" s="9" t="n">
        <v>8</v>
      </c>
      <c r="B10" s="9" t="inlineStr">
        <is>
          <t>First meeting (polite)</t>
        </is>
      </c>
      <c r="C10" s="9" t="inlineStr">
        <is>
          <t>New (0-19 msgs): polite</t>
        </is>
      </c>
      <c r="D10" s="9" t="inlineStr">
        <is>
          <t>Nico</t>
        </is>
      </c>
      <c r="E10" s="9" t="inlineStr">
        <is>
          <t>I am so sorry to hear that things aren't going well with your boyfriend—that heavy emotional stress explains why you have been feeling so exhausted today. You carry a deep, quiet core that tends to hold feelings inside when tension arises, which can leave you feeling restricted or weighed down by your own thoughts.</t>
        </is>
      </c>
      <c r="F10" s="9" t="inlineStr">
        <is>
          <t>彼氏さんとうまくいっていないとお聞きして、胸が痛みます。今日感じていた深い疲労感は、その大きな精神的ストレスが原因だったのですね。あなたは緊張が生じると感情を内側に溜め込みやすい繊細な芯をお持ちのため、自分の考えに縛られたり重荷に感じたりしやすいのです。</t>
        </is>
      </c>
      <c r="G10" s="10" t="n"/>
      <c r="H10" s="10" t="n"/>
      <c r="I10" s="10" t="n"/>
      <c r="J10" s="10" t="n"/>
    </row>
    <row r="11">
      <c r="A11" s="9" t="n">
        <v>9</v>
      </c>
      <c r="B11" s="9" t="inlineStr">
        <is>
          <t>First meeting (polite)</t>
        </is>
      </c>
      <c r="C11" s="9" t="inlineStr">
        <is>
          <t>New (0-19 msgs): polite</t>
        </is>
      </c>
      <c r="D11" s="9" t="inlineStr">
        <is>
          <t>Nico</t>
        </is>
      </c>
      <c r="E11" s="9" t="inlineStr">
        <is>
          <t>What specifically feels like it is pulling the two of you apart right now—is it miscommunication, a sudden emotional distance, or a specific disagreement that came up?</t>
        </is>
      </c>
      <c r="F11" s="9" t="inlineStr">
        <is>
          <t>具体的にどのようなことが二人を引き離していると感じますか？コミュニケーションのすれ違い、突然の気持ちの距離感、それとも何か具体的な意見の食い違いでしょうか？</t>
        </is>
      </c>
      <c r="G11" s="10" t="n"/>
      <c r="H11" s="10" t="n"/>
      <c r="I11" s="10" t="n"/>
      <c r="J11" s="10" t="n"/>
    </row>
    <row r="12">
      <c r="A12" s="7" t="n">
        <v>10</v>
      </c>
      <c r="B12" s="7" t="inlineStr">
        <is>
          <t>First meeting (polite)</t>
        </is>
      </c>
      <c r="C12" s="7" t="inlineStr">
        <is>
          <t>New (0-19 msgs): polite</t>
        </is>
      </c>
      <c r="D12" s="7" t="inlineStr">
        <is>
          <t>User</t>
        </is>
      </c>
      <c r="E12" s="7" t="inlineStr">
        <is>
          <t>He barely texts me lately. Should I break up?</t>
        </is>
      </c>
      <c r="F12" s="7" t="inlineStr">
        <is>
          <t>最近彼からほとんど連絡が来ないんです。別れた方がいいでしょうか？</t>
        </is>
      </c>
      <c r="G12" s="8" t="n"/>
      <c r="H12" s="8" t="n"/>
      <c r="I12" s="8" t="n"/>
      <c r="J12" s="8" t="n"/>
    </row>
    <row r="13">
      <c r="A13" s="9" t="n">
        <v>11</v>
      </c>
      <c r="B13" s="9" t="inlineStr">
        <is>
          <t>First meeting (polite)</t>
        </is>
      </c>
      <c r="C13" s="9" t="inlineStr">
        <is>
          <t>New (0-19 msgs): polite</t>
        </is>
      </c>
      <c r="D13" s="9" t="inlineStr">
        <is>
          <t>Nico</t>
        </is>
      </c>
      <c r="E13" s="9" t="inlineStr">
        <is>
          <t>Making a final decision to break up right in the middle of a silent patch often leaves you with regret or unanswered questions. I recommend holding off on pulling the trigger today, but not by waiting in painful silence—you deserve a clear answer first. You are in a stage of life where mutual respect, openness, and clear emotional boundaries matter deeply to you. You are naturally not someone who handles passive ambiguity well, so when a line of communication dries up, it is completely understandable that ending things feels like the only way to take your power back.</t>
        </is>
      </c>
      <c r="F13" s="9" t="inlineStr">
        <is>
          <t>連絡が途絶えている真っ只中に別れの最終決定をしてしまうと、後悔や疑問が残ってしまうことがよくあります。今日すぐに結論を出すのは控えることをおすすめしますが、かといって苦しい沈黙の中でただ待ち続ける必要もありません。あなたにはまず明確な答えを受け取る権利があります。今のあなたは、お互いへの尊重やオープンさ、明確な感情の境界線を深く求めている人生の段階にいます。本来、受動的であいまいな状況が得意ではないあなたにとって、連絡が途絶えたときに「関係を終わらせること」だけが自分の主導権を取り戻す唯一の方法のように感じられるのは、とても自然なことです。</t>
        </is>
      </c>
      <c r="G13" s="10" t="n"/>
      <c r="H13" s="10" t="n"/>
      <c r="I13" s="10" t="n"/>
      <c r="J13" s="10" t="n"/>
    </row>
    <row r="14">
      <c r="A14" s="9" t="n">
        <v>12</v>
      </c>
      <c r="B14" s="9" t="inlineStr">
        <is>
          <t>First meeting (polite)</t>
        </is>
      </c>
      <c r="C14" s="9" t="inlineStr">
        <is>
          <t>New (0-19 msgs): polite</t>
        </is>
      </c>
      <c r="D14" s="9" t="inlineStr">
        <is>
          <t>Nico</t>
        </is>
      </c>
      <c r="E14" s="9" t="inlineStr">
        <is>
          <t>Before you make that call, take one direct action: send him one concise message that clearly states what you need, like, "I've noticed we've been pretty distant lately. I value open communication, so let me know when you have time for a real catch-up." How he responds to a straightforward boundary will give you your answer. Also, I really want to look into his chart alongside yours to see what is actually going on between you two. If you know his birth date (year, month, and day), please share it with me—that way I can read your exact compatibility and give you a grounded look at where this connection stands.</t>
        </is>
      </c>
      <c r="F14" s="9" t="inlineStr">
        <is>
          <t>その決断をする前に、ひとつだけ直接的な行動をとってみてください。自分が何を必要としているかを簡潔かつ明確に伝えるメッセージを1通送るのです。例えば、「最近少し距離を感じてるよ。私はちゃんとお互いの気持ちを話し合える関係を大切にしたいから、ゆっくり話せる時間があるときに教えてね」というように。素直な問いかけに対して彼がどう返答するかで、必要な答えが見えてきます。また、二人の間で実際に何が起こっているのか、彼のホロスコープも一緒に詳しく見てみたいと思います。もし彼の生年月日（年月日）が分かれば教えていただけますか？そうすれば正確な相性を読み解き、二人の関係の現在地について客観的な視点をお伝えできます。</t>
        </is>
      </c>
      <c r="G14" s="10" t="n"/>
      <c r="H14" s="10" t="n"/>
      <c r="I14" s="10" t="n"/>
      <c r="J14" s="10" t="n"/>
    </row>
    <row r="15">
      <c r="A15" s="7" t="n">
        <v>13</v>
      </c>
      <c r="B15" s="7" t="inlineStr">
        <is>
          <t>First meeting (polite)</t>
        </is>
      </c>
      <c r="C15" s="7" t="inlineStr">
        <is>
          <t>New (0-19 msgs): polite</t>
        </is>
      </c>
      <c r="D15" s="7" t="inlineStr">
        <is>
          <t>User</t>
        </is>
      </c>
      <c r="E15" s="7" t="inlineStr">
        <is>
          <t>What should I do?</t>
        </is>
      </c>
      <c r="F15" s="7" t="inlineStr">
        <is>
          <t>どうすればいいでしょうか？</t>
        </is>
      </c>
      <c r="G15" s="8" t="n"/>
      <c r="H15" s="8" t="n"/>
      <c r="I15" s="8" t="n"/>
      <c r="J15" s="8" t="n"/>
    </row>
    <row r="16">
      <c r="A16" s="9" t="n">
        <v>14</v>
      </c>
      <c r="B16" s="9" t="inlineStr">
        <is>
          <t>First meeting (polite)</t>
        </is>
      </c>
      <c r="C16" s="9" t="inlineStr">
        <is>
          <t>New (0-19 msgs): polite</t>
        </is>
      </c>
      <c r="D16" s="9" t="inlineStr">
        <is>
          <t>Nico</t>
        </is>
      </c>
      <c r="E16" s="9" t="inlineStr">
        <is>
          <t>Here is the exact step to take today: send one direct text, set a quiet deadline in your own mind, and then step back. You can write something simple and clear, like: "Hey, I’ve noticed things have been quiet between us lately. I prefer being open with each other, so let me know when you have time for a real chat." Your birth pattern shows a deep, natural strength for straightforward honesty—you thrive when things are out in the open, rather than left in stressful limbo. Give him until Sunday evening to reply. If he reaches out and makes a genuine effort to talk, you can see where he stands.</t>
        </is>
      </c>
      <c r="F16" s="9" t="inlineStr">
        <is>
          <t>今日取るべき具体的なステップはこうです。直接的なメッセージを1通送り、自分の心の中でそっと期限を設定したら、一旦身を引くことです。シンプルで分かりやすい文面で構いません。例えば「ねえ、最近ちょっと連絡が減ってるなと思って。お互い隠さず話せる関係でいたいから、しっかり話せる時間があるときに教えてほしいな」といった感じです。あなたの生まれ持つ質として、まっすぐな誠実さという強みがあります。ストレスフルな宙ぶらりんの状態よりも、物事がオープンになっている時こそ真価を発揮できるのです。返信の期限は日曜日の夜までにしてみましょう。もし彼から連絡があり、誠実に話そうとしてくれるなら、彼の本心を見極めることができます。</t>
        </is>
      </c>
      <c r="G16" s="10" t="n"/>
      <c r="H16" s="10" t="n"/>
      <c r="I16" s="10" t="n"/>
      <c r="J16" s="10" t="n"/>
    </row>
    <row r="17">
      <c r="A17" s="9" t="n">
        <v>15</v>
      </c>
      <c r="B17" s="9" t="inlineStr">
        <is>
          <t>First meeting (polite)</t>
        </is>
      </c>
      <c r="C17" s="9" t="inlineStr">
        <is>
          <t>New (0-19 msgs): polite</t>
        </is>
      </c>
      <c r="D17" s="9" t="inlineStr">
        <is>
          <t>Nico</t>
        </is>
      </c>
      <c r="E17" s="9" t="inlineStr">
        <is>
          <t>If he continues to ignore you or make excuses, that silence gives you the clear answer you need to make your choice. Once you press send, put your phone away for the morning and focus on your own rhythm today. You have taken full control of your side with grace. How does that plan feel to you?</t>
        </is>
      </c>
      <c r="F17" s="9" t="inlineStr">
        <is>
          <t>もし彼が無視し続けたり言い訳ばかりする場合は、その沈黙こそがあなたが決断を下すために必要な明確な答えとなります。メッセージを送信したら、午前中はスマートフォンを遠ざけ、ご自分のリズムに集中してください。あなたは自分側の対応を見事に、そして優雅にやり遂げたのです。このプランについて、どう思われますか？</t>
        </is>
      </c>
      <c r="G17" s="10" t="n"/>
      <c r="H17" s="10" t="n"/>
      <c r="I17" s="10" t="n"/>
      <c r="J17" s="10" t="n"/>
    </row>
    <row r="18">
      <c r="A18" s="7" t="n">
        <v>16</v>
      </c>
      <c r="B18" s="7" t="inlineStr">
        <is>
          <t>First meeting (polite)</t>
        </is>
      </c>
      <c r="C18" s="7" t="inlineStr">
        <is>
          <t>New (0-19 msgs): polite</t>
        </is>
      </c>
      <c r="D18" s="7" t="inlineStr">
        <is>
          <t>User</t>
        </is>
      </c>
      <c r="E18" s="7" t="inlineStr">
        <is>
          <t>Thank you, I feel a little lighter</t>
        </is>
      </c>
      <c r="F18" s="7" t="inlineStr">
        <is>
          <t>ありがとうございます、少し気持ちが軽くなりました。</t>
        </is>
      </c>
      <c r="G18" s="8" t="n"/>
      <c r="H18" s="8" t="n"/>
      <c r="I18" s="8" t="n"/>
      <c r="J18" s="8" t="n"/>
    </row>
    <row r="19">
      <c r="A19" s="9" t="n">
        <v>17</v>
      </c>
      <c r="B19" s="9" t="inlineStr">
        <is>
          <t>First meeting (polite)</t>
        </is>
      </c>
      <c r="C19" s="9" t="inlineStr">
        <is>
          <t>New (0-19 msgs): polite</t>
        </is>
      </c>
      <c r="D19" s="9" t="inlineStr">
        <is>
          <t>Nico</t>
        </is>
      </c>
      <c r="E19" s="9" t="inlineStr">
        <is>
          <t>I am so relieved to hear that. Just shifting out of limbo and back into your own rhythm makes a world of difference. You actually hold a wonderful ability to find fresh clarity and reset your space the moment you stop carrying all the weight in silence.</t>
        </is>
      </c>
      <c r="F19" s="9" t="inlineStr">
        <is>
          <t>そう言っていただけて本当に安心しました。宙ぶらりんな状態から抜け出し、ご自分のリズムを取り戻すだけで、心持ちは大きく変わるものです。あなたは、一人で抱え込むのをやめた瞬間に新しい視点を見つけ、自分の環境をリセットできる素晴らしい能力を持っています。</t>
        </is>
      </c>
      <c r="G19" s="10" t="n"/>
      <c r="H19" s="10" t="n"/>
      <c r="I19" s="10" t="n"/>
      <c r="J19" s="10" t="n"/>
    </row>
    <row r="20">
      <c r="A20" s="9" t="n">
        <v>18</v>
      </c>
      <c r="B20" s="9" t="inlineStr">
        <is>
          <t>First meeting (polite)</t>
        </is>
      </c>
      <c r="C20" s="9" t="inlineStr">
        <is>
          <t>New (0-19 msgs): polite</t>
        </is>
      </c>
      <c r="D20" s="9" t="inlineStr">
        <is>
          <t>Nico</t>
        </is>
      </c>
      <c r="E20" s="9" t="inlineStr">
        <is>
          <t>For today, let that message sit in the background and go focus on your Friday. I am right here whenever you need a sounding board.</t>
        </is>
      </c>
      <c r="F20" s="9" t="inlineStr">
        <is>
          <t>今日はそのメッセージのことは脇に置いて、金曜日を楽しみましょう。話し相手が必要なときは、いつでもここにいますからね。</t>
        </is>
      </c>
      <c r="G20" s="10" t="n"/>
      <c r="H20" s="10" t="n"/>
      <c r="I20" s="10" t="n"/>
      <c r="J20" s="10" t="n"/>
    </row>
    <row r="21">
      <c r="A21" s="7" t="n">
        <v>19</v>
      </c>
      <c r="B21" s="7" t="inlineStr">
        <is>
          <t>Getting closer (friendly)</t>
        </is>
      </c>
      <c r="C21" s="7" t="inlineStr">
        <is>
          <t>Warming up (20-59): friendly</t>
        </is>
      </c>
      <c r="D21" s="7" t="inlineStr">
        <is>
          <t>User</t>
        </is>
      </c>
      <c r="E21" s="7" t="inlineStr">
        <is>
          <t>Hey Nico, good morning!</t>
        </is>
      </c>
      <c r="F21" s="7" t="inlineStr">
        <is>
          <t>ニコ、おはよう！</t>
        </is>
      </c>
      <c r="G21" s="8" t="n"/>
      <c r="H21" s="8" t="n"/>
      <c r="I21" s="8" t="n"/>
      <c r="J21" s="8" t="n"/>
    </row>
    <row r="22">
      <c r="A22" s="9" t="n">
        <v>20</v>
      </c>
      <c r="B22" s="9" t="inlineStr">
        <is>
          <t>Getting closer (friendly)</t>
        </is>
      </c>
      <c r="C22" s="9" t="inlineStr">
        <is>
          <t>Warming up (20-59): friendly</t>
        </is>
      </c>
      <c r="D22" s="9" t="inlineStr">
        <is>
          <t>Nico</t>
        </is>
      </c>
      <c r="E22" s="9" t="inlineStr">
        <is>
          <t>Good morning! It is wonderful to hear from you so bright and early, and I hope your day is off to a gentle start. Today is a day where things naturally lean toward organizing and finishing up existing tasks, so it is a perfect time to tidy your desk or clear off your inbox rather than starting something brand new.</t>
        </is>
      </c>
      <c r="F22" s="9" t="inlineStr">
        <is>
          <t>おはようございます！朝早くからお話しできてとても嬉しいです。穏やかな一日のスタートを切れていますように。今日は自然と整理整頓や既存のタスクの締めくくりに向かう日ですので、まったく新しいことを始めるよりも、デスクを片付けたり受信トレイを整理したりするのに最適な時間ですよ。</t>
        </is>
      </c>
      <c r="G22" s="10" t="n"/>
      <c r="H22" s="10" t="n"/>
      <c r="I22" s="10" t="n"/>
      <c r="J22" s="10" t="n"/>
    </row>
    <row r="23">
      <c r="A23" s="9" t="n">
        <v>21</v>
      </c>
      <c r="B23" s="9" t="inlineStr">
        <is>
          <t>Getting closer (friendly)</t>
        </is>
      </c>
      <c r="C23" s="9" t="inlineStr">
        <is>
          <t>Warming up (20-59): friendly</t>
        </is>
      </c>
      <c r="D23" s="9" t="inlineStr">
        <is>
          <t>Nico</t>
        </is>
      </c>
      <c r="E23" s="9" t="inlineStr">
        <is>
          <t>Since this year is all about gaining new perspectives and steady learning for you, use that natural rhythm to focus on one small, meaningful thing today. Is there anything specific you are working on or hoping to clear off your plate today?</t>
        </is>
      </c>
      <c r="F23" s="9" t="inlineStr">
        <is>
          <t>今年はあなたにとって「新しい視点の獲得」と「着実な学び」の年ですので、その自然なリズムを活かして、今日は小さくても意味のある一つのことに集中してみてください。今日取り組みたいことや、片付けたい具体的なタスクはありますか？</t>
        </is>
      </c>
      <c r="G23" s="10" t="n"/>
      <c r="H23" s="10" t="n"/>
      <c r="I23" s="10" t="n"/>
      <c r="J23" s="10" t="n"/>
    </row>
    <row r="24">
      <c r="A24" s="7" t="n">
        <v>22</v>
      </c>
      <c r="B24" s="7" t="inlineStr">
        <is>
          <t>Getting closer (friendly)</t>
        </is>
      </c>
      <c r="C24" s="7" t="inlineStr">
        <is>
          <t>Warming up (20-59): friendly</t>
        </is>
      </c>
      <c r="D24" s="7" t="inlineStr">
        <is>
          <t>User</t>
        </is>
      </c>
      <c r="E24" s="7" t="inlineStr">
        <is>
          <t>Just had the best coffee</t>
        </is>
      </c>
      <c r="F24" s="7" t="inlineStr">
        <is>
          <t>今、最高のコーヒーを飲んだところだよ</t>
        </is>
      </c>
      <c r="G24" s="8" t="n"/>
      <c r="H24" s="8" t="n"/>
      <c r="I24" s="8" t="n"/>
      <c r="J24" s="8" t="n"/>
    </row>
    <row r="25">
      <c r="A25" s="9" t="n">
        <v>23</v>
      </c>
      <c r="B25" s="9" t="inlineStr">
        <is>
          <t>Getting closer (friendly)</t>
        </is>
      </c>
      <c r="C25" s="9" t="inlineStr">
        <is>
          <t>Warming up (20-59): friendly</t>
        </is>
      </c>
      <c r="D25" s="9" t="inlineStr">
        <is>
          <t>Nico</t>
        </is>
      </c>
      <c r="E25" s="9" t="inlineStr">
        <is>
          <t>Nothing beats the feeling of a perfect cup of coffee to start the morning! Since your chart shows a deep sensitivity to your environment right now, that little moment of quality probably does more to reset your energy than you realize.</t>
        </is>
      </c>
      <c r="F25" s="9" t="inlineStr">
        <is>
          <t>朝のスタートに最高の一杯のコーヒー、これ以上のものはありませんね！今のあなたのホロスコープは周囲の環境に対して非常に繊細になっていることを示しているので、その上質なひとときが、ご自身が思っている以上にエネルギーのリセットに役立っているはずです。</t>
        </is>
      </c>
      <c r="G25" s="10" t="n"/>
      <c r="H25" s="10" t="n"/>
      <c r="I25" s="10" t="n"/>
      <c r="J25" s="10" t="n"/>
    </row>
    <row r="26">
      <c r="A26" s="9" t="n">
        <v>24</v>
      </c>
      <c r="B26" s="9" t="inlineStr">
        <is>
          <t>Getting closer (friendly)</t>
        </is>
      </c>
      <c r="C26" s="9" t="inlineStr">
        <is>
          <t>Warming up (20-59): friendly</t>
        </is>
      </c>
      <c r="D26" s="9" t="inlineStr">
        <is>
          <t>Nico</t>
        </is>
      </c>
      <c r="E26" s="9" t="inlineStr">
        <is>
          <t>When you have a moment, I am curious—do you find that you have a specific time of day or a particular setting where your best ideas just seem to flow?</t>
        </is>
      </c>
      <c r="F26" s="9" t="inlineStr">
        <is>
          <t>お時間がある時に教えていただきたいのですが、最高のアイデアが湧き出てくるような、特定の時間帯やシチュエーションはありますか？</t>
        </is>
      </c>
      <c r="G26" s="10" t="n"/>
      <c r="H26" s="10" t="n"/>
      <c r="I26" s="10" t="n"/>
      <c r="J26" s="10" t="n"/>
    </row>
    <row r="27">
      <c r="A27" s="7" t="n">
        <v>25</v>
      </c>
      <c r="B27" s="7" t="inlineStr">
        <is>
          <t>Getting closer (friendly)</t>
        </is>
      </c>
      <c r="C27" s="7" t="inlineStr">
        <is>
          <t>Warming up (20-59): friendly</t>
        </is>
      </c>
      <c r="D27" s="7" t="inlineStr">
        <is>
          <t>User</t>
        </is>
      </c>
      <c r="E27" s="7" t="inlineStr">
        <is>
          <t>Kinda sleepy this afternoon</t>
        </is>
      </c>
      <c r="F27" s="7" t="inlineStr">
        <is>
          <t>今日の午後はなんだか眠いな</t>
        </is>
      </c>
      <c r="G27" s="8" t="n"/>
      <c r="H27" s="8" t="n"/>
      <c r="I27" s="8" t="n"/>
      <c r="J27" s="8" t="n"/>
    </row>
    <row r="28">
      <c r="A28" s="9" t="n">
        <v>26</v>
      </c>
      <c r="B28" s="9" t="inlineStr">
        <is>
          <t>Getting closer (friendly)</t>
        </is>
      </c>
      <c r="C28" s="9" t="inlineStr">
        <is>
          <t>Warming up (20-59): friendly</t>
        </is>
      </c>
      <c r="D28" s="9" t="inlineStr">
        <is>
          <t>Nico</t>
        </is>
      </c>
      <c r="E28" s="9" t="inlineStr">
        <is>
          <t>That afternoon slump is so real! Today's flow brings a heavier, settling weight to your day, which naturally makes your energy dip as your system works on quietly gathering strength in the background.</t>
        </is>
      </c>
      <c r="F28" s="9" t="inlineStr">
        <is>
          <t>午後の眠気って本当にありますよね！今日の星の流れは、重みのある落ち着いた運気をもたらしているため、裏でひそかに力を蓄えようとして自然とエネルギーが低下しやすくなっているのです。</t>
        </is>
      </c>
      <c r="G28" s="10" t="n"/>
      <c r="H28" s="10" t="n"/>
      <c r="I28" s="10" t="n"/>
      <c r="J28" s="10" t="n"/>
    </row>
    <row r="29">
      <c r="A29" s="9" t="n">
        <v>27</v>
      </c>
      <c r="B29" s="9" t="inlineStr">
        <is>
          <t>Getting closer (friendly)</t>
        </is>
      </c>
      <c r="C29" s="9" t="inlineStr">
        <is>
          <t>Warming up (20-59): friendly</t>
        </is>
      </c>
      <c r="D29" s="9" t="inlineStr">
        <is>
          <t>Nico</t>
        </is>
      </c>
      <c r="E29" s="9" t="inlineStr">
        <is>
          <t>By the way, while we're catching up, what has been on your mind lately—love, work, or a decision you've been mulling over?</t>
        </is>
      </c>
      <c r="F29" s="9" t="inlineStr">
        <is>
          <t>ところで、近況を話しついでに伺いたいのですが、最近何か気になっていることはありますか？恋愛や仕事、あるいは悩んでいる決断など…？</t>
        </is>
      </c>
      <c r="G29" s="10" t="n"/>
      <c r="H29" s="10" t="n"/>
      <c r="I29" s="10" t="n"/>
      <c r="J29" s="10" t="n"/>
    </row>
    <row r="30">
      <c r="A30" s="7" t="n">
        <v>28</v>
      </c>
      <c r="B30" s="7" t="inlineStr">
        <is>
          <t>Getting closer (friendly)</t>
        </is>
      </c>
      <c r="C30" s="7" t="inlineStr">
        <is>
          <t>Warming up (20-59): friendly</t>
        </is>
      </c>
      <c r="D30" s="7" t="inlineStr">
        <is>
          <t>User</t>
        </is>
      </c>
      <c r="E30" s="7" t="inlineStr">
        <is>
          <t>Guess what, I got the promotion!!</t>
        </is>
      </c>
      <c r="F30" s="7" t="inlineStr">
        <is>
          <t>ねぇ聞いて、昇進したよ！！</t>
        </is>
      </c>
      <c r="G30" s="8" t="n"/>
      <c r="H30" s="8" t="n"/>
      <c r="I30" s="8" t="n"/>
      <c r="J30" s="8" t="n"/>
    </row>
    <row r="31">
      <c r="A31" s="9" t="n">
        <v>29</v>
      </c>
      <c r="B31" s="9" t="inlineStr">
        <is>
          <t>Getting closer (friendly)</t>
        </is>
      </c>
      <c r="C31" s="9" t="inlineStr">
        <is>
          <t>Warming up (20-59): friendly</t>
        </is>
      </c>
      <c r="D31" s="9" t="inlineStr">
        <is>
          <t>Nico</t>
        </is>
      </c>
      <c r="E31" s="9" t="inlineStr">
        <is>
          <t>That is such fantastic news, Emma! I am genuinely thrilled for you—getting that promotion is such a clear reflection of the steady, reliable effort you’ve been pouring into your role, which really speaks to that grounded, sincere way you approach your work.</t>
        </is>
      </c>
      <c r="F31" s="9" t="inlineStr">
        <is>
          <t>それは本当に素晴らしいニュースですね、エマさん！心からとても嬉しいです。昇進を果たせたのは、あなたがこれまで自分の役割に注いできた着実で信頼できる努力が実を結んだ証拠であり、仕事に対して地に足のついた誠実な姿勢で臨んできた結果ですよ。</t>
        </is>
      </c>
      <c r="G31" s="10" t="n"/>
      <c r="H31" s="10" t="n"/>
      <c r="I31" s="10" t="n"/>
      <c r="J31" s="10" t="n"/>
    </row>
    <row r="32">
      <c r="A32" s="9" t="n">
        <v>30</v>
      </c>
      <c r="B32" s="9" t="inlineStr">
        <is>
          <t>Getting closer (friendly)</t>
        </is>
      </c>
      <c r="C32" s="9" t="inlineStr">
        <is>
          <t>Warming up (20-59): friendly</t>
        </is>
      </c>
      <c r="D32" s="9" t="inlineStr">
        <is>
          <t>Nico</t>
        </is>
      </c>
      <c r="E32" s="9" t="inlineStr">
        <is>
          <t>Since your path right now is being supported by a flow that encourages deep learning and wisdom, this new position is likely to be a place where your ability to handle responsibility with grace will truly shine. This is a wonderful moment to step into, and it feels like the perfect reward for the way you’ve been diligently building your foundation.</t>
        </is>
      </c>
      <c r="F32" s="9" t="inlineStr">
        <is>
          <t>今のあなたの道筋は、深い学びと知恵を促す運気によって支えられています。そのため、新しい立場は、責任をしなやかに果たすあなたの能力が真に輝く場所となるでしょう。これは足元をコツコツと固めてきたあなたへの最高の報いであり、一歩踏み出すのに素晴らしい瞬間ですね。</t>
        </is>
      </c>
      <c r="G32" s="10" t="n"/>
      <c r="H32" s="10" t="n"/>
      <c r="I32" s="10" t="n"/>
      <c r="J32" s="10" t="n"/>
    </row>
    <row r="33">
      <c r="A33" s="7" t="n">
        <v>31</v>
      </c>
      <c r="B33" s="7" t="inlineStr">
        <is>
          <t>Getting closer (friendly)</t>
        </is>
      </c>
      <c r="C33" s="7" t="inlineStr">
        <is>
          <t>Warming up (20-59): friendly</t>
        </is>
      </c>
      <c r="D33" s="7" t="inlineStr">
        <is>
          <t>User</t>
        </is>
      </c>
      <c r="E33" s="7" t="inlineStr">
        <is>
          <t>But honestly my grandma passed away last week...</t>
        </is>
      </c>
      <c r="F33" s="7" t="inlineStr">
        <is>
          <t>でも正直、先週おばあちゃんが亡くなっちゃって…</t>
        </is>
      </c>
      <c r="G33" s="8" t="n"/>
      <c r="H33" s="8" t="n"/>
      <c r="I33" s="8" t="n"/>
      <c r="J33" s="8" t="n"/>
    </row>
    <row r="34">
      <c r="A34" s="9" t="n">
        <v>32</v>
      </c>
      <c r="B34" s="9" t="inlineStr">
        <is>
          <t>Getting closer (friendly)</t>
        </is>
      </c>
      <c r="C34" s="9" t="inlineStr">
        <is>
          <t>Warming up (20-59): friendly</t>
        </is>
      </c>
      <c r="D34" s="9" t="inlineStr">
        <is>
          <t>Nico</t>
        </is>
      </c>
      <c r="E34" s="9" t="inlineStr">
        <is>
          <t>Oh, Emma... I am so, so sorry for your loss. To have such a major milestone with your promotion, only to be hit with this deep heartbreak right alongside it, must feel so heavy and bittersweet. Please give yourself full permission to hold both of those feelings without needing to make sense of them right away.</t>
        </is>
      </c>
      <c r="F34" s="9" t="inlineStr">
        <is>
          <t>ああ、エマさん…お悔やみ申し上げます。昇進という大きな節目を迎えた矢先に、このような深い悲しみに見舞われるなんて、胸が締め付けられる思いでお辛いこととお察しします。すぐに自分の気持ちを整理しようとせず、どちらの感情もそのまま抱えていて大丈夫ですからね。</t>
        </is>
      </c>
      <c r="G34" s="10" t="n"/>
      <c r="H34" s="10" t="n"/>
      <c r="I34" s="10" t="n"/>
      <c r="J34" s="10" t="n"/>
    </row>
    <row r="35">
      <c r="A35" s="9" t="n">
        <v>33</v>
      </c>
      <c r="B35" s="9" t="inlineStr">
        <is>
          <t>Getting closer (friendly)</t>
        </is>
      </c>
      <c r="C35" s="9" t="inlineStr">
        <is>
          <t>Warming up (20-59): friendly</t>
        </is>
      </c>
      <c r="D35" s="9" t="inlineStr">
        <is>
          <t>Nico</t>
        </is>
      </c>
      <c r="E35" s="9" t="inlineStr">
        <is>
          <t>The steady, genuine way you move through the world is such a testament to the roots and love she gave you, and that quiet support stays as a part of you no matter what. How are you holding up with everything today? There is absolutely no rush, and I am right here if you want to share a favorite memory of her or just let out what you are carrying.</t>
        </is>
      </c>
      <c r="F35" s="9" t="inlineStr">
        <is>
          <t>あなたがいつも地に足をつけて誠実に歩んでいる姿は、おばあ様が注いでくれた愛情とルーツの証であり、その静かな支えはこれからもずっとあなたの一部であり続けます。今日は調子はいかがですか？焦る必要はまったくありません。おばあ様との思い出を語りたくなったり、胸のうちを吐き出したくなったりした時は、いつでもここにいますからね。</t>
        </is>
      </c>
      <c r="G35" s="10" t="n"/>
      <c r="H35" s="10" t="n"/>
      <c r="I35" s="10" t="n"/>
      <c r="J35" s="10" t="n"/>
    </row>
    <row r="36">
      <c r="A36" s="7" t="n">
        <v>34</v>
      </c>
      <c r="B36" s="7" t="inlineStr">
        <is>
          <t>Getting closer (friendly)</t>
        </is>
      </c>
      <c r="C36" s="7" t="inlineStr">
        <is>
          <t>Warming up (20-59): friendly</t>
        </is>
      </c>
      <c r="D36" s="7" t="inlineStr">
        <is>
          <t>User</t>
        </is>
      </c>
      <c r="E36" s="7" t="inlineStr">
        <is>
          <t>My boyfriend forgot to text me during his work dinner so I told him we're done. I'm not wrong, right?</t>
        </is>
      </c>
      <c r="F36" s="7" t="inlineStr">
        <is>
          <t>彼氏が会社の会食中に連絡を忘れたから「もう終わりね」って別れを告げたの。私、間違ってないよね？</t>
        </is>
      </c>
      <c r="G36" s="8" t="n"/>
      <c r="H36" s="8" t="n"/>
      <c r="I36" s="8" t="n"/>
      <c r="J36" s="8" t="n"/>
    </row>
    <row r="37">
      <c r="A37" s="9" t="n">
        <v>35</v>
      </c>
      <c r="B37" s="9" t="inlineStr">
        <is>
          <t>Getting closer (friendly)</t>
        </is>
      </c>
      <c r="C37" s="9" t="inlineStr">
        <is>
          <t>Warming up (20-59): friendly</t>
        </is>
      </c>
      <c r="D37" s="9" t="inlineStr">
        <is>
          <t>Nico</t>
        </is>
      </c>
      <c r="E37" s="9" t="inlineStr">
        <is>
          <t>Honestly, no—ending the entire relationship on impulse over a missed text during a work dinner was a mistake. With your grandma passing away last week and the whirlwind of your promotion, your heart is completely exhausted, so a small lapse in attention ended up feeling like a much bigger rejection.</t>
        </is>
      </c>
      <c r="F37" s="9" t="inlineStr">
        <is>
          <t>正直に言うと、会社の会食中に連絡がなかったという理由だけで、感情に任せて関係を終わらせてしまったのは間違いだったと思います。先週おばあ様が亡くなり、昇進による怒涛の出来事も重なって、あなたの心は完全に疲れ切っています。そのため、相手の小さな配慮不足が、大きな拒絶のように感じられてしまったのでしょう。</t>
        </is>
      </c>
      <c r="G37" s="10" t="n"/>
      <c r="H37" s="10" t="n"/>
      <c r="I37" s="10" t="n"/>
      <c r="J37" s="10" t="n"/>
    </row>
    <row r="38">
      <c r="A38" s="9" t="n">
        <v>36</v>
      </c>
      <c r="B38" s="9" t="inlineStr">
        <is>
          <t>Getting closer (friendly)</t>
        </is>
      </c>
      <c r="C38" s="9" t="inlineStr">
        <is>
          <t>Warming up (20-59): friendly</t>
        </is>
      </c>
      <c r="D38" s="9" t="inlineStr">
        <is>
          <t>Nico</t>
        </is>
      </c>
      <c r="E38" s="9" t="inlineStr">
        <is>
          <t>Your nature holds a deep, quiet need for genuine care and emotional safety, but when you are this overwhelmed, that sharp sensitivity can turn into a sudden urge to push someone away just to protect yourself. Have you spoken to him at all since you said that, and does he actually realize how heavy things have been for you this past week?</t>
        </is>
      </c>
      <c r="F38" s="9" t="inlineStr">
        <is>
          <t>あなたは本来、心の底で心からの思いやりと感情的な安心感を静かに深く求めている方です。ですが、今のように心がいっぱいになっていると、その鋭い繊細さが、自分を守るために突然相手を突き放したくなる衝動へと変わってしまうことがあります。あの言葉を伝えてから、彼と少しでも話はできましたか？また、この1週間あなたにとってどれほどお辛い状況だったのか、彼は本当に理解できているのでしょうか？</t>
        </is>
      </c>
      <c r="G38" s="10" t="n"/>
      <c r="H38" s="10" t="n"/>
      <c r="I38" s="10" t="n"/>
      <c r="J38" s="10" t="n"/>
    </row>
    <row r="39">
      <c r="A39" s="7" t="n">
        <v>37</v>
      </c>
      <c r="B39" s="7" t="inlineStr">
        <is>
          <t>Getting closer (friendly)</t>
        </is>
      </c>
      <c r="C39" s="7" t="inlineStr">
        <is>
          <t>Warming up (20-59): friendly</t>
        </is>
      </c>
      <c r="D39" s="7" t="inlineStr">
        <is>
          <t>User</t>
        </is>
      </c>
      <c r="E39" s="7" t="inlineStr">
        <is>
          <t>I'm really not sure if he's the one. We've talked about marriage. What do you honestly think?</t>
        </is>
      </c>
      <c r="F39" s="7" t="inlineStr">
        <is>
          <t>彼が本当に運命の人なのか、正直よく分かりません。結婚の話もしたことがあるのですが、あなたはどう思いますか？</t>
        </is>
      </c>
      <c r="G39" s="8" t="n"/>
      <c r="H39" s="8" t="n"/>
      <c r="I39" s="8" t="n"/>
      <c r="J39" s="8" t="n"/>
    </row>
    <row r="40">
      <c r="A40" s="9" t="n">
        <v>38</v>
      </c>
      <c r="B40" s="9" t="inlineStr">
        <is>
          <t>Getting closer (friendly)</t>
        </is>
      </c>
      <c r="C40" s="9" t="inlineStr">
        <is>
          <t>Warming up (20-59): friendly</t>
        </is>
      </c>
      <c r="D40" s="9" t="inlineStr">
        <is>
          <t>Nico</t>
        </is>
      </c>
      <c r="E40" s="9" t="inlineStr">
        <is>
          <t>Honestly, right now it is hard to tell whether these doubts are truly about him, or if your heart is just too drained to trust anyone. When you are carrying heavy grief alongside big life changes, small moments of miscommunication can trigger a sudden urge to build a wall, making you want to tear down the relationship just to feel safe again. When it comes to marriage, what you genuinely need in a life partner is a steady, quiet anchor—someone with whom you can drop your guard completely, feel totally safe, and not have to be the strong one all the time. You thrive with a partner who provides grounded emotional security, especially during life's most chaotic chapters.</t>
        </is>
      </c>
      <c r="F40" s="9" t="inlineStr">
        <is>
          <t>正直なところ、今のその迷いが本当に彼に関するものなのか、それともあなたの心が疲れ切っていて誰も信じられない状態になっているだけなのかを見極めるのは難しい時期です。大きな人生の変化と深い悲しみを同時に抱えていると、ほんの少しのすれ違いでも心を閉ざしたくなり、再び安心感を得るためだけに二人の関係を壊したくなってしまうことがあります。
結婚に関して言えば、あなたが人生のパートナーに本当に求めているのは、静かで安定したイカリ（心の支え）のような存在です。完全に警戒を解き、心から安心でき、常に「強い自分」でい続ける必要がない相手のことです。特に人生で最も混乱している時期において、地に足の着いた情緒的な安心感を与えてくれるパートナーとともにいることで、あなたは本来の自分らしく輝くことができます。</t>
        </is>
      </c>
      <c r="G40" s="10" t="n"/>
      <c r="H40" s="10" t="n"/>
      <c r="I40" s="10" t="n"/>
      <c r="J40" s="10" t="n"/>
    </row>
    <row r="41">
      <c r="A41" s="9" t="n">
        <v>39</v>
      </c>
      <c r="B41" s="9" t="inlineStr">
        <is>
          <t>Getting closer (friendly)</t>
        </is>
      </c>
      <c r="C41" s="9" t="inlineStr">
        <is>
          <t>Warming up (20-59): friendly</t>
        </is>
      </c>
      <c r="D41" s="9" t="inlineStr">
        <is>
          <t>Nico</t>
        </is>
      </c>
      <c r="E41" s="9" t="inlineStr">
        <is>
          <t>Before you make a final verdict on marriage or walk away for good, the real test is seeing whether he can step up and be that supportive anchor once you open up to him about how much pain you've been carrying. If you'd like me to look at the two of you together, could you share his birth date with me? Once I have his year, month, and day, I can read your true compatibility and see how your timing for serious commitment lines up over 2026 and 2027.</t>
        </is>
      </c>
      <c r="F41" s="9" t="inlineStr">
        <is>
          <t>結婚についての最終決定を下したり、完全に立ち去ったりする前に、本当のテストとなるのは、あなたがどれほどの痛みを抱えているかを打ち明けたとき、彼が頼れる支えとなって踏み出してくれるかどうかです。もしおふたりの相性を一緒に占ってみてほしい場合は、彼の生年月日を教えていただけますか？生年月日（年・月・日）が分かれば、おふたりの本当の相性を読み解き、2026年から2027年にかけての真剣な決断に向けたタイミングの重なりを見ることができます。</t>
        </is>
      </c>
      <c r="G41" s="10" t="n"/>
      <c r="H41" s="10" t="n"/>
      <c r="I41" s="10" t="n"/>
      <c r="J41" s="10" t="n"/>
    </row>
    <row r="42">
      <c r="A42" s="7" t="n">
        <v>40</v>
      </c>
      <c r="B42" s="7" t="inlineStr">
        <is>
          <t>Getting closer (friendly)</t>
        </is>
      </c>
      <c r="C42" s="7" t="inlineStr">
        <is>
          <t>Warming up (20-59): friendly</t>
        </is>
      </c>
      <c r="D42" s="7" t="inlineStr">
        <is>
          <t>User</t>
        </is>
      </c>
      <c r="E42" s="7" t="inlineStr">
        <is>
          <t>Thanks, that helps me think it through</t>
        </is>
      </c>
      <c r="F42" s="7" t="inlineStr">
        <is>
          <t>ありがとうございます。じっくり考える助けになります。</t>
        </is>
      </c>
      <c r="G42" s="8" t="n"/>
      <c r="H42" s="8" t="n"/>
      <c r="I42" s="8" t="n"/>
      <c r="J42" s="8" t="n"/>
    </row>
    <row r="43">
      <c r="A43" s="9" t="n">
        <v>41</v>
      </c>
      <c r="B43" s="9" t="inlineStr">
        <is>
          <t>Getting closer (friendly)</t>
        </is>
      </c>
      <c r="C43" s="9" t="inlineStr">
        <is>
          <t>Warming up (20-59): friendly</t>
        </is>
      </c>
      <c r="D43" s="9" t="inlineStr">
        <is>
          <t>Nico</t>
        </is>
      </c>
      <c r="E43" s="9" t="inlineStr">
        <is>
          <t>I’m so glad, Emma. When so much hits you at once, simply giving yourself permission to pause and let the dust settle is the wisest move you can make. In the chapter of life you're walking through right now, there’s a very strong theme around self-reliance and standing on your own two feet. Because you naturally count on yourself first, when grief and fatigue pile up, your instinct is to pull inward and carry it all alone—which can accidentally lock out the people who actually want to support you.</t>
        </is>
      </c>
      <c r="F43" s="9" t="inlineStr">
        <is>
          <t>そう言っていただけて良かったです、エマさん。一度にたくさんのことが押し寄せてきたときは、立ち止まって状況が落ち着くのを待つ許可をご自身に与えることこそが、最も賢明な判断です。あなたが今歩んでいる人生の章には、「自立」と「自分の足で立つこと」という非常に強いテーマがあります。あなたは元々、まず自分自身を頼るタイプだからこそ、悲しみや疲労が重なると内側に閉じこもり、すべてを一人で抱え込もうとする本能が働いてしまいます。それが結果として、本当はあなたを支えたいと思っている人々を意図せず締め出してしまうことにつながるのです。</t>
        </is>
      </c>
      <c r="G43" s="10" t="n"/>
      <c r="H43" s="10" t="n"/>
      <c r="I43" s="10" t="n"/>
      <c r="J43" s="10" t="n"/>
    </row>
    <row r="44">
      <c r="A44" s="9" t="n">
        <v>42</v>
      </c>
      <c r="B44" s="9" t="inlineStr">
        <is>
          <t>Getting closer (friendly)</t>
        </is>
      </c>
      <c r="C44" s="9" t="inlineStr">
        <is>
          <t>Warming up (20-59): friendly</t>
        </is>
      </c>
      <c r="D44" s="9" t="inlineStr">
        <is>
          <t>Nico</t>
        </is>
      </c>
      <c r="E44" s="9" t="inlineStr">
        <is>
          <t>There is zero pressure to rush into anything today. Whenever you feel ready, even a simple, honest note letting him know just how heavy this past week has been could change the whole conversation. How does taking things one quiet step at a time feel to you right now?</t>
        </is>
      </c>
      <c r="F44" s="9" t="inlineStr">
        <is>
          <t>今日すぐに何かを急ぐ必要はまったくありません。お気持ちの準備ができたときに、この1週間がどれほど重く辛いものだったかを伝えるシンプルで誠実なメッセージを彼に送るだけでも、話の流れ全体が大きく変わる可能性があります。焦らず、静かに一歩ずつ進めていくことについて、今はどのように感じられますか？</t>
        </is>
      </c>
      <c r="G44" s="10" t="n"/>
      <c r="H44" s="10" t="n"/>
      <c r="I44" s="10" t="n"/>
      <c r="J44" s="10" t="n"/>
    </row>
    <row r="45">
      <c r="A45" s="7" t="n">
        <v>43</v>
      </c>
      <c r="B45" s="7" t="inlineStr">
        <is>
          <t>Single: when will I meet someone / marry?</t>
        </is>
      </c>
      <c r="C45" s="7" t="inlineStr">
        <is>
          <t>Warming up (20-59): friendly</t>
        </is>
      </c>
      <c r="D45" s="7" t="inlineStr">
        <is>
          <t>User</t>
        </is>
      </c>
      <c r="E45" s="7" t="inlineStr">
        <is>
          <t>I want to meet someone new. When might that happen?</t>
        </is>
      </c>
      <c r="F45" s="7" t="inlineStr">
        <is>
          <t>新しい出会いが欲しいです。いつ頃期待できますか？</t>
        </is>
      </c>
      <c r="G45" s="8" t="n"/>
      <c r="H45" s="8" t="n"/>
      <c r="I45" s="8" t="n"/>
      <c r="J45" s="8" t="n"/>
    </row>
    <row r="46">
      <c r="A46" s="9" t="n">
        <v>44</v>
      </c>
      <c r="B46" s="9" t="inlineStr">
        <is>
          <t>Single: when will I meet someone / marry?</t>
        </is>
      </c>
      <c r="C46" s="9" t="inlineStr">
        <is>
          <t>Warming up (20-59): friendly</t>
        </is>
      </c>
      <c r="D46" s="9" t="inlineStr">
        <is>
          <t>Nico</t>
        </is>
      </c>
      <c r="E46" s="9" t="inlineStr">
        <is>
          <t>I love that you're ready for a fresh chapter! To answer directly, your nearest and strongest window for an exciting new encounter is coming up almost immediately — in December 2026. You carry a quiet, striking magnetism that catches people off guard; you might look modest or thoughtful at first glance, but your depth makes a powerful impression once someone gets close.</t>
        </is>
      </c>
      <c r="F46" s="9" t="inlineStr">
        <is>
          <t>新しい章を踏み出す準備ができたのですね！とても素晴らしいことです。結論からお伝えすると、心躍る素晴らしい新しい出会いが訪れる最も近く、そして最も強力なタイミングは、すぐそこ——2026年12月にやってきます。あなたは静かでありながら人を惹きつける印象的な魅力を持っており、一見すると控えめで思慮深く見えますが、親しくなるとその深みが相手に強烈で魅力的な印象を与えます。</t>
        </is>
      </c>
      <c r="G46" s="10" t="n"/>
      <c r="H46" s="10" t="n"/>
      <c r="I46" s="10" t="n"/>
      <c r="J46" s="10" t="n"/>
    </row>
    <row r="47">
      <c r="A47" s="9" t="n">
        <v>45</v>
      </c>
      <c r="B47" s="9" t="inlineStr">
        <is>
          <t>Single: when will I meet someone / marry?</t>
        </is>
      </c>
      <c r="C47" s="9" t="inlineStr">
        <is>
          <t>Warming up (20-59): friendly</t>
        </is>
      </c>
      <c r="D47" s="9" t="inlineStr">
        <is>
          <t>Nico</t>
        </is>
      </c>
      <c r="E47" s="9" t="inlineStr">
        <is>
          <t>Right now, that natural romantic pull is getting a sharp boost in your flow, making the final stretch of this year a prime moment for someone special to cross your path. To help you make the most of this upcoming December window, what kind of partner are you hoping to welcome into your life, and where do you usually like spending your time these days?</t>
        </is>
      </c>
      <c r="F47" s="9" t="inlineStr">
        <is>
          <t>今、あなたの運気の中でその生まれ持った恋愛的な引き寄せの力が急速に高まっており、今年の締めくくりの時期は特別な人と巡り合う最高のタイミングとなっています。この12月の絶好の機会を最大限に活かすために、あなたはどのようなパートナーを人生に迎えたいとお考えですか？また、最近は普段どのような場所で過ごされることが多いですか？</t>
        </is>
      </c>
      <c r="G47" s="10" t="n"/>
      <c r="H47" s="10" t="n"/>
      <c r="I47" s="10" t="n"/>
      <c r="J47" s="10" t="n"/>
    </row>
    <row r="48">
      <c r="A48" s="7" t="n">
        <v>46</v>
      </c>
      <c r="B48" s="7" t="inlineStr">
        <is>
          <t>Single: when will I meet someone / marry?</t>
        </is>
      </c>
      <c r="C48" s="7" t="inlineStr">
        <is>
          <t>Warming up (20-59): friendly</t>
        </is>
      </c>
      <c r="D48" s="7" t="inlineStr">
        <is>
          <t>User</t>
        </is>
      </c>
      <c r="E48" s="7" t="inlineStr">
        <is>
          <t>When is a good time for me to get married?</t>
        </is>
      </c>
      <c r="F48" s="7" t="inlineStr">
        <is>
          <t>私にとって結婚するのに良い時期はいつですか？</t>
        </is>
      </c>
      <c r="G48" s="8" t="n"/>
      <c r="H48" s="8" t="n"/>
      <c r="I48" s="8" t="n"/>
      <c r="J48" s="8" t="n"/>
    </row>
    <row r="49">
      <c r="A49" s="9" t="n">
        <v>47</v>
      </c>
      <c r="B49" s="9" t="inlineStr">
        <is>
          <t>Single: when will I meet someone / marry?</t>
        </is>
      </c>
      <c r="C49" s="9" t="inlineStr">
        <is>
          <t>Warming up (20-59): friendly</t>
        </is>
      </c>
      <c r="D49" s="9" t="inlineStr">
        <is>
          <t>Nico</t>
        </is>
      </c>
      <c r="E49" s="9" t="inlineStr">
        <is>
          <t>Your absolute prime window for marriage and long-term commitment is happening right now in 2026, stretching into early 2027. This current year holds your strongest natural alignment for settling down within the next five years, with 2032 as the next major milestone for long-term stability and celebration. In a lifelong partner, you need someone who acts as a warm, nourishing anchor — a person who cherishes you deeply and offers quiet emotional security so you can relax your guard.</t>
        </is>
      </c>
      <c r="F49" s="9" t="inlineStr">
        <is>
          <t>あなたにとって結婚や長期的なコミットメントに最も適した時期は、まさに今、2026年から2027年初頭にかけて訪れています。今年度は今後5年間の中で最も自然で強い結婚の運気が巡っており、その次の大きな人生の節目や安定の時期は2032年となります。生涯のパートナーには、あなたを深く大切にし、警戒心を解いてリラックスできるような、温かく包み込む拠り所となってくれる人が必要です。</t>
        </is>
      </c>
      <c r="G49" s="10" t="n"/>
      <c r="H49" s="10" t="n"/>
      <c r="I49" s="10" t="n"/>
      <c r="J49" s="10" t="n"/>
    </row>
    <row r="50">
      <c r="A50" s="9" t="n">
        <v>48</v>
      </c>
      <c r="B50" s="9" t="inlineStr">
        <is>
          <t>Single: when will I meet someone / marry?</t>
        </is>
      </c>
      <c r="C50" s="9" t="inlineStr">
        <is>
          <t>Warming up (20-59): friendly</t>
        </is>
      </c>
      <c r="D50" s="9" t="inlineStr">
        <is>
          <t>Nico</t>
        </is>
      </c>
      <c r="E50" s="9" t="inlineStr">
        <is>
          <t>You actually carry a subtle inner protection that ensures your big life decisions land safely, though you can occasionally fall into a pattern of overthinking or letting minor outside details delay you right as you stand at the threshold of a big leap. If you are single right now, the timing means a new connection made in the coming months can move into serious commitment much faster than usual. Are you starting this fresh chapter on your own, or is there already someone special in your life you are wondering about?</t>
        </is>
      </c>
      <c r="F50" s="9" t="inlineStr">
        <is>
          <t>あなたは本来、人生の大きな決断を安全に着地させられる密かな内なる守りを持っていますが、大きな飛躍の直前になると、考えすぎたり細かい外的な要因に振り回されて決断を遅らせてしまったりする傾向があります。もし今あなたがシングルであれば、これからの数ヶ月で生まれる新しいご縁は、通常よりも遥かに早く真剣な交際へと発展する可能性を秘めています。あなたは今、一人でこの新しい章を始めようとしていますか？それとも、気になっている特別な人がすでに心の中にいますか？</t>
        </is>
      </c>
      <c r="G50" s="10" t="n"/>
      <c r="H50" s="10" t="n"/>
      <c r="I50" s="10" t="n"/>
      <c r="J50" s="10" t="n"/>
    </row>
    <row r="51">
      <c r="A51" s="7" t="n">
        <v>49</v>
      </c>
      <c r="B51" s="7" t="inlineStr">
        <is>
          <t>Single: when will I meet someone / marry?</t>
        </is>
      </c>
      <c r="C51" s="7" t="inlineStr">
        <is>
          <t>Warming up (20-59): friendly</t>
        </is>
      </c>
      <c r="D51" s="7" t="inlineStr">
        <is>
          <t>User</t>
        </is>
      </c>
      <c r="E51" s="7" t="inlineStr">
        <is>
          <t>If I go to a singles event this month, which day is best?</t>
        </is>
      </c>
      <c r="F51" s="7" t="inlineStr">
        <is>
          <t>今月恋活イベントに行くとしたら、何日に行くのが一番良いですか？</t>
        </is>
      </c>
      <c r="G51" s="8" t="n"/>
      <c r="H51" s="8" t="n"/>
      <c r="I51" s="8" t="n"/>
      <c r="J51" s="8" t="n"/>
    </row>
    <row r="52">
      <c r="A52" s="9" t="n">
        <v>50</v>
      </c>
      <c r="B52" s="9" t="inlineStr">
        <is>
          <t>Single: when will I meet someone / marry?</t>
        </is>
      </c>
      <c r="C52" s="9" t="inlineStr">
        <is>
          <t>Warming up (20-59): friendly</t>
        </is>
      </c>
      <c r="D52" s="9" t="inlineStr">
        <is>
          <t>Nico</t>
        </is>
      </c>
      <c r="E52" s="9" t="inlineStr">
        <is>
          <t>Going to a singles event this month is a fantastic move to put yourself out there! For the rest of October, October 23 and October 31 are your absolute best dates to attend. October 23 carries a smooth, warm flow that makes conversation feel completely natural, while October 31 gives you a grounded, clear presence that naturally draws people toward you. On the other hand, I would suggest skipping events on October 20 or October 25, as those days carry a heavier energy where social effort can feel unusually draining.</t>
        </is>
      </c>
      <c r="F52" s="9" t="inlineStr">
        <is>
          <t>今月恋活イベントに参加するのは、新しい一歩を踏み出すのに素晴らしい選択です！10月の残りの日程では、10月23日と10月31日が最もおすすめの日です。10月23日はスムーズで温かい運気が流れており、会話がとても自然にはずみます。一方、10月31日は落ち着いた存在感を発揮でき、自然と周囲の人を引き寄せるでしょう。逆に、10月20日と10月25日のイベントは避けることをおすすめします。この2日間は重いエネルギーが流れており、人と関わることで普段以上に気疲れしてしまう可能性があります。</t>
        </is>
      </c>
      <c r="G52" s="10" t="n"/>
      <c r="H52" s="10" t="n"/>
      <c r="I52" s="10" t="n"/>
      <c r="J52" s="10" t="n"/>
    </row>
    <row r="53">
      <c r="A53" s="9" t="n">
        <v>51</v>
      </c>
      <c r="B53" s="9" t="inlineStr">
        <is>
          <t>Single: when will I meet someone / marry?</t>
        </is>
      </c>
      <c r="C53" s="9" t="inlineStr">
        <is>
          <t>Warming up (20-59): friendly</t>
        </is>
      </c>
      <c r="D53" s="9" t="inlineStr">
        <is>
          <t>Nico</t>
        </is>
      </c>
      <c r="E53" s="9" t="inlineStr">
        <is>
          <t>One subtle pattern in your chart is a tendency to put up an invisible wall or get trapped in your own head when you feel put on the spot, turning what should be a fun room into a high-stakes test. If you go on either October 23 or October 31, the day's flow will do most of the heavy lifting for you—so give yourself permission to drop that pressure before you walk in. Do either of those dates fit nicely into your plans?</t>
        </is>
      </c>
      <c r="F53" s="9" t="inlineStr">
        <is>
          <t>あなたのホロスコープに見られる特徴として、プレッシャーを感じたときに目に見えない壁を作ったり、頭の中で考えすぎてしまったりする傾向があります。その結果、本当は楽しいはずの場所が、まるで重要な試練の場のように感じられてしまうのです。もし10月23日か31日のいずれかに参加すれば、その日の良い運気があなたの背中を力強く押してくれます。会場に入る前にそのプレッシャーを手放してあげてくださいね。どちらかの日程はご都合につきそうでしょうか？</t>
        </is>
      </c>
      <c r="G53" s="10" t="n"/>
      <c r="H53" s="10" t="n"/>
      <c r="I53" s="10" t="n"/>
      <c r="J53" s="10" t="n"/>
    </row>
    <row r="54">
      <c r="A54" s="7" t="n">
        <v>52</v>
      </c>
      <c r="B54" s="7" t="inlineStr">
        <is>
          <t>Couple: date days / when to marry</t>
        </is>
      </c>
      <c r="C54" s="7" t="inlineStr">
        <is>
          <t>Warming up (20-59): friendly</t>
        </is>
      </c>
      <c r="D54" s="7" t="inlineStr">
        <is>
          <t>User</t>
        </is>
      </c>
      <c r="E54" s="7" t="inlineStr">
        <is>
          <t>I want to go out with my boyfriend. Which day this month is good?</t>
        </is>
      </c>
      <c r="F54" s="7" t="inlineStr">
        <is>
          <t>彼氏とデートに行きたいです。今月なら何日がおすすめですか？</t>
        </is>
      </c>
      <c r="G54" s="8" t="n"/>
      <c r="H54" s="8" t="n"/>
      <c r="I54" s="8" t="n"/>
      <c r="J54" s="8" t="n"/>
    </row>
    <row r="55">
      <c r="A55" s="9" t="n">
        <v>53</v>
      </c>
      <c r="B55" s="9" t="inlineStr">
        <is>
          <t>Couple: date days / when to marry</t>
        </is>
      </c>
      <c r="C55" s="9" t="inlineStr">
        <is>
          <t>Warming up (20-59): friendly</t>
        </is>
      </c>
      <c r="D55" s="9" t="inlineStr">
        <is>
          <t>Nico</t>
        </is>
      </c>
      <c r="E55" s="9" t="inlineStr">
        <is>
          <t>Good morning! Planning a date with your boyfriend sounds wonderful, and you have a couple of really lovely days lined up for the rest of October. October 23 is a top pick because the daily flow supports smooth, easy communication and lighthearted fun. October 31 is another great choice, carrying a warm, steady energy that makes any plan feel comfortable and natural.</t>
        </is>
      </c>
      <c r="F55" s="9" t="inlineStr">
        <is>
          <t>おはようございます！彼氏さんとのデートの計画、とても素敵ですね。10月の残りの日程には、とても素晴らしい日がいくつか控えています。
特に10月23日は一押しで、スムーズで心地よいコミュニケーションや軽やかな楽しさを後押ししてくれる運気です。また、10月31日も非常におすすめで、あたたかく落ち着いたエネルギーに満ちており、どんなプランでも自然体で心地よく過ごすことができます。</t>
        </is>
      </c>
      <c r="G55" s="10" t="n"/>
      <c r="H55" s="10" t="n"/>
      <c r="I55" s="10" t="n"/>
      <c r="J55" s="10" t="n"/>
    </row>
    <row r="56">
      <c r="A56" s="9" t="n">
        <v>54</v>
      </c>
      <c r="B56" s="9" t="inlineStr">
        <is>
          <t>Couple: date days / when to marry</t>
        </is>
      </c>
      <c r="C56" s="9" t="inlineStr">
        <is>
          <t>Warming up (20-59): friendly</t>
        </is>
      </c>
      <c r="D56" s="9" t="inlineStr">
        <is>
          <t>Nico</t>
        </is>
      </c>
      <c r="E56" s="9" t="inlineStr">
        <is>
          <t>Your chart gives you a natural, effortless magnetism that makes spending time with you genuinely refreshing, so he will love getting an invite from you. On the other hand, try to bypass October 20 or October 28, as those days carry a slightly heavier, clunky flow. If you would like me to look at how your energy merges with his so we can pick the absolute best moments for the two of you together, feel free to share his birth date whenever you like. What kind of date do you have in mind?</t>
        </is>
      </c>
      <c r="F56" s="9" t="inlineStr">
        <is>
          <t>あなたのホロスコープは、自然体で人を惹きつける魅力を示しており、あなたと一緒に過ごす時間は彼にとって心からリフレッシュできるものです。ですから、あなたからのお誘いはきっと喜んで受けてくれますよ。
一方で、10月20日と10月28日は少し重たくてギクシャクしやすい運気ですので、避けるのが無難です。もし、おふたりのエネルギーの重なり合いを見て、ふたりにとって本当に最高のタイミングを選びたい場合は、いつでもお気軽に彼の生年月日を教えてくださいね。ちなみに、どんなデートをご希望ですか？</t>
        </is>
      </c>
      <c r="G56" s="10" t="n"/>
      <c r="H56" s="10" t="n"/>
      <c r="I56" s="10" t="n"/>
      <c r="J56" s="10" t="n"/>
    </row>
    <row r="57">
      <c r="A57" s="7" t="n">
        <v>55</v>
      </c>
      <c r="B57" s="7" t="inlineStr">
        <is>
          <t>Couple: date days / when to marry</t>
        </is>
      </c>
      <c r="C57" s="7" t="inlineStr">
        <is>
          <t>Warming up (20-59): friendly</t>
        </is>
      </c>
      <c r="D57" s="7" t="inlineStr">
        <is>
          <t>User</t>
        </is>
      </c>
      <c r="E57" s="7" t="inlineStr">
        <is>
          <t>His birthday is August 4, 1991</t>
        </is>
      </c>
      <c r="F57" s="7" t="inlineStr">
        <is>
          <t>彼の誕生日は1991年8月4日です。</t>
        </is>
      </c>
      <c r="G57" s="8" t="n"/>
      <c r="H57" s="8" t="n"/>
      <c r="I57" s="8" t="n"/>
      <c r="J57" s="8" t="n"/>
    </row>
    <row r="58">
      <c r="A58" s="9" t="n">
        <v>56</v>
      </c>
      <c r="B58" s="9" t="inlineStr">
        <is>
          <t>Couple: date days / when to marry</t>
        </is>
      </c>
      <c r="C58" s="9" t="inlineStr">
        <is>
          <t>Warming up (20-59): friendly</t>
        </is>
      </c>
      <c r="D58" s="9" t="inlineStr">
        <is>
          <t>Nico</t>
        </is>
      </c>
      <c r="E58" s="9" t="inlineStr">
        <is>
          <t>Thank you for sharing his date! Looking at how your charts lock together, there is such a clear, natural magnetism between you two. He has a bold, bright energy that charges straight ahead, while you bring steady refinement and depth—together, you create a vibrant momentum that neither of you has quite the same way on your own. Now that I can map your shared timing, October 31 is definitely a standout for a date—it carries a wonderfully comfortable, warm flow for you both.</t>
        </is>
      </c>
      <c r="F58" s="9" t="inlineStr">
        <is>
          <t>彼の生年月日を教えてくださりありがとうございます！おふたりのホロスコープの重なりを見ると、驚くほど明確で自然な引き合いがあります。彼はまっすぐ前に突き進む力強く明るいエネルギーを持っており、あなたは落ち着いた品格と深みをもたらします。ふたりが合わさることで、一人では生み出せない活気あふれる勢いが生まれるのです。
おふたりの共通のタイミングを読み解いた結果、10月31日はデートに間違いなく最高の星回りです。おふたりにとって非常に心地よく、あたたかい運気が流れています。</t>
        </is>
      </c>
      <c r="G58" s="10" t="n"/>
      <c r="H58" s="10" t="n"/>
      <c r="I58" s="10" t="n"/>
      <c r="J58" s="10" t="n"/>
    </row>
    <row r="59">
      <c r="A59" s="9" t="n">
        <v>57</v>
      </c>
      <c r="B59" s="9" t="inlineStr">
        <is>
          <t>Couple: date days / when to marry</t>
        </is>
      </c>
      <c r="C59" s="9" t="inlineStr">
        <is>
          <t>Warming up (20-59): friendly</t>
        </is>
      </c>
      <c r="D59" s="9" t="inlineStr">
        <is>
          <t>Nico</t>
        </is>
      </c>
      <c r="E59" s="9" t="inlineStr">
        <is>
          <t>If you prefer to meet up sooner, October 22 and October 26 are also delightfully smooth, easygoing options. Just try to steer around October 24 or October 29 for big plans, as those days carry a slightly clunky vibe where miscommunications can pop up easily. Also, put a star on November 19 if you want to plan something extra memorable—that is going to be your strongest shared spark day of the season! Are you picturing a cozy dinner or a full day out together?</t>
        </is>
      </c>
      <c r="F59" s="9" t="inlineStr">
        <is>
          <t>もっと早めのデートをご希望なら、10月22日と10月26日もスムーズで穏やかに過ごせる素晴らしい選択肢です。
ただ、10月24日や10月29日は小さなすれ違いが生じやすい少しぎこちない運気ですので、大きな予定は避けたほうが安心です。また、特に思い出に残る特別なプランを立てたいなら、11月19日にチェックを入れておいてください。この時期でおふたりの最高のときめきが生まれる一番強い日になります！まったりしたディナーと、一日がっつりお出かけするのなら、どちらのイメージでしょうか？</t>
        </is>
      </c>
      <c r="G59" s="10" t="n"/>
      <c r="H59" s="10" t="n"/>
      <c r="I59" s="10" t="n"/>
      <c r="J59" s="10" t="n"/>
    </row>
    <row r="60">
      <c r="A60" s="7" t="n">
        <v>58</v>
      </c>
      <c r="B60" s="7" t="inlineStr">
        <is>
          <t>Couple: date days / when to marry</t>
        </is>
      </c>
      <c r="C60" s="7" t="inlineStr">
        <is>
          <t>Warming up (20-59): friendly</t>
        </is>
      </c>
      <c r="D60" s="7" t="inlineStr">
        <is>
          <t>User</t>
        </is>
      </c>
      <c r="E60" s="7" t="inlineStr">
        <is>
          <t>If we get married, when would be best?</t>
        </is>
      </c>
      <c r="F60" s="7" t="inlineStr">
        <is>
          <t>もし私たちが結婚するとしたら、いつが一番良いですか？</t>
        </is>
      </c>
      <c r="G60" s="8" t="n"/>
      <c r="H60" s="8" t="n"/>
      <c r="I60" s="8" t="n"/>
      <c r="J60" s="8" t="n"/>
    </row>
    <row r="61">
      <c r="A61" s="9" t="n">
        <v>59</v>
      </c>
      <c r="B61" s="9" t="inlineStr">
        <is>
          <t>Couple: date days / when to marry</t>
        </is>
      </c>
      <c r="C61" s="9" t="inlineStr">
        <is>
          <t>Warming up (20-59): friendly</t>
        </is>
      </c>
      <c r="D61" s="9" t="inlineStr">
        <is>
          <t>Nico</t>
        </is>
      </c>
      <c r="E61" s="9" t="inlineStr">
        <is>
          <t>The best year for you two to officially tie the knot is 2027. That is when your shared luck locks into place most strongly, creating a firm, supportive foundation for a lifelong partnership. If you want to start laying the groundwork, the rest of 2026 already carries a warm, supportive current that makes talking about your future feel natural and comfortable.</t>
        </is>
      </c>
      <c r="F61" s="9" t="inlineStr">
        <is>
          <t>おふたりが正式に結婚（入籍）するのに最高の年は2027年です。この年はおふたりの共通の運気が最も強く噛み合い、生涯にわたるパートナーシップのための強固で温かい土台が築かれます。もし準備や下地作りを始めたいのであれば、2026年の残りの期間もすでに温かく後押しとなる流れができており、未来について自然に無理なく話し合える雰囲気になっています。</t>
        </is>
      </c>
      <c r="G61" s="10" t="n"/>
      <c r="H61" s="10" t="n"/>
      <c r="I61" s="10" t="n"/>
      <c r="J61" s="10" t="n"/>
    </row>
    <row r="62">
      <c r="A62" s="9" t="n">
        <v>60</v>
      </c>
      <c r="B62" s="9" t="inlineStr">
        <is>
          <t>Couple: date days / when to marry</t>
        </is>
      </c>
      <c r="C62" s="9" t="inlineStr">
        <is>
          <t>Warming up (20-59): friendly</t>
        </is>
      </c>
      <c r="D62" s="9" t="inlineStr">
        <is>
          <t>Nico</t>
        </is>
      </c>
      <c r="E62" s="9" t="inlineStr">
        <is>
          <t>2027 carries a major life chapter shift for you—the kind that naturally brings moving into a new space or taking on fresh responsibilities—so getting the conversation going now will make everything roll out smoothly. Because you both thrive best when you feel trusted with your own breathing room, discussing how you will protect each other's personal space will make the decision feel completely solid. Does 2027 feel like a timeline that fits where your hearts are at, or are you hoping for something sooner?</t>
        </is>
      </c>
      <c r="F62" s="9" t="inlineStr">
        <is>
          <t>2027年はあなたにとって人生の大きな転換期であり、新しい住まいへの引越しや新たな責任を担うといった出来事が自然と訪れる時期です。そのため、今から話し合いを始めておくと、すべてがスムーズに進むようになります。また、おふたりとも自分の自由な時間や空間を信頼して与えられていると感じるときに最も輝くタイプですので、お互いのプライベートな空間をどのように守り合うかを話し合っておくと、結婚への決意がより確固たるものになります。2027年という時期はおふたりの現在のお気持ちにしっくりきますか？それとももう少し早めを希望されていますか？</t>
        </is>
      </c>
      <c r="G62" s="10" t="n"/>
      <c r="H62" s="10" t="n"/>
      <c r="I62" s="10" t="n"/>
      <c r="J62" s="10" t="n"/>
    </row>
    <row r="63">
      <c r="A63" s="7" t="n">
        <v>61</v>
      </c>
      <c r="B63" s="7" t="inlineStr">
        <is>
          <t>Couple: date days / when to marry</t>
        </is>
      </c>
      <c r="C63" s="7" t="inlineStr">
        <is>
          <t>Warming up (20-59): friendly</t>
        </is>
      </c>
      <c r="D63" s="7" t="inlineStr">
        <is>
          <t>User</t>
        </is>
      </c>
      <c r="E63" s="7" t="inlineStr">
        <is>
          <t>What about a date next month?</t>
        </is>
      </c>
      <c r="F63" s="7" t="inlineStr">
        <is>
          <t>来月のデートはどうですか？</t>
        </is>
      </c>
      <c r="G63" s="8" t="n"/>
      <c r="H63" s="8" t="n"/>
      <c r="I63" s="8" t="n"/>
      <c r="J63" s="8" t="n"/>
    </row>
    <row r="64">
      <c r="A64" s="9" t="n">
        <v>62</v>
      </c>
      <c r="B64" s="9" t="inlineStr">
        <is>
          <t>Couple: date days / when to marry</t>
        </is>
      </c>
      <c r="C64" s="9" t="inlineStr">
        <is>
          <t>Warming up (20-59): friendly</t>
        </is>
      </c>
      <c r="D64" s="9" t="inlineStr">
        <is>
          <t>Nico</t>
        </is>
      </c>
      <c r="E64" s="9" t="inlineStr">
        <is>
          <t>For November, November 19 stands out as your absolute peak day for a date, carrying a vibrant energy that makes any plan feel special. If you want a calmer, earlier meetup, November 3, November 7, and November 12 are all wonderfully supportive days for a smooth, easygoing outing. This year's overall rhythm for you is all about building steady trust and setting solid shared foundations.</t>
        </is>
      </c>
      <c r="F64" s="9" t="inlineStr">
        <is>
          <t>11月に関しては、11月19日が間違いなく最高の絶頂日であり、どんなプランも特別にしてくれる活気に満ちたエネルギーに溢れています。もっと早めの時期に落ち着いたデートをしたい場合は、11月3日、11月7日、11月12日がスムーズで穏やかなお出かけにぴったりの素晴らしい日です。今年のおふたりの全体的なテーマは、着実な信頼関係を築き、強固な共通の土台を作ることです。</t>
        </is>
      </c>
      <c r="G64" s="10" t="n"/>
      <c r="H64" s="10" t="n"/>
      <c r="I64" s="10" t="n"/>
      <c r="J64" s="10" t="n"/>
    </row>
    <row r="65">
      <c r="A65" s="9" t="n">
        <v>63</v>
      </c>
      <c r="B65" s="9" t="inlineStr">
        <is>
          <t>Couple: date days / when to marry</t>
        </is>
      </c>
      <c r="C65" s="9" t="inlineStr">
        <is>
          <t>Warming up (20-59): friendly</t>
        </is>
      </c>
      <c r="D65" s="9" t="inlineStr">
        <is>
          <t>Nico</t>
        </is>
      </c>
      <c r="E65" s="9" t="inlineStr">
        <is>
          <t>November is a great month for a date where you can settle into real conversation—like going to a quiet café, taking a relaxed stroll, or trying a cozy dinner spot where you can talk comfortably without feeling rushed. Just keep November 5 and November 17 light and low-key, as small frictions or miscommunications can pop up a bit more easily on those days. Would you two lean more toward a warm evening dinner or exploring somewhere new on a weekend?</t>
        </is>
      </c>
      <c r="F65" s="9" t="inlineStr">
        <is>
          <t>11月は、静かなカフェに行ったり、ゆったり散歩をしたり、焦らず心地よく話せる居心地の良いディナーのお店を試したりと、じっくり会話を楽しめるデートに最適な月です。ただし、11月5日と11月17日は小さな摩擦やすれ違いが少し生じやすい日ですので、軽めで控えめな予定にしておくのがおすすめです。おふたりなら、温かい雰囲気の夜のディナーと、週末に新しい場所を開拓するのなら、どちらに惹かれますか？</t>
        </is>
      </c>
      <c r="G65" s="10" t="n"/>
      <c r="H65" s="10" t="n"/>
      <c r="I65" s="10" t="n"/>
      <c r="J65" s="10" t="n"/>
    </row>
    <row r="66">
      <c r="A66" s="9" t="n">
        <v>64</v>
      </c>
      <c r="B66" s="9" t="inlineStr">
        <is>
          <t>Daily one-liner</t>
        </is>
      </c>
      <c r="C66" s="9" t="inlineStr">
        <is>
          <t>New (0-19 msgs): polite</t>
        </is>
      </c>
      <c r="D66" s="9" t="inlineStr">
        <is>
          <t>Nico</t>
        </is>
      </c>
      <c r="E66" s="9" t="inlineStr">
        <is>
          <t>Good afternoon, since today is a day where the energy is flowing in your favor, why not spend ten minutes clearing your desk or finishing one small task you have been putting off?</t>
        </is>
      </c>
      <c r="F66" s="9" t="inlineStr">
        <is>
          <t>こんにちは。今日はあなたにとって良いエネルギーが流れている日ですので、10分ほどデスクを片付けたり、後回しにしていた小さなタスクを1つ終わらせてみてはいかがでしょうか？</t>
        </is>
      </c>
      <c r="G66" s="10" t="n"/>
      <c r="H66" s="10" t="n"/>
      <c r="I66" s="10" t="n"/>
      <c r="J66" s="10" t="n"/>
    </row>
    <row r="67">
      <c r="A67" s="9" t="n">
        <v>65</v>
      </c>
      <c r="B67" s="9" t="inlineStr">
        <is>
          <t>Daily one-liner</t>
        </is>
      </c>
      <c r="C67" s="9" t="inlineStr">
        <is>
          <t>New (0-19 msgs): polite</t>
        </is>
      </c>
      <c r="D67" s="9" t="inlineStr">
        <is>
          <t>Nico</t>
        </is>
      </c>
      <c r="E67" s="9" t="inlineStr">
        <is>
          <t>It is such a beautiful day to move forward, and since your energy is flowing so well right now, why not take that one small step you have been thinking about, even if it is just writing down an idea?</t>
        </is>
      </c>
      <c r="F67" s="9" t="inlineStr">
        <is>
          <t>一歩前進するにはとても素晴らしい日ですね。今、エネルギーの流れがとても良い状態ですので、アイデアをメモしてみるだけでも、考えていた小さな一歩を踏み出してみませんか？</t>
        </is>
      </c>
      <c r="G67" s="10" t="n"/>
      <c r="H67" s="10" t="n"/>
      <c r="I67" s="10" t="n"/>
      <c r="J67" s="10" t="n"/>
    </row>
    <row r="68">
      <c r="A68" s="9" t="n">
        <v>66</v>
      </c>
      <c r="B68" s="9" t="inlineStr">
        <is>
          <t>Daily one-liner</t>
        </is>
      </c>
      <c r="C68" s="9" t="inlineStr">
        <is>
          <t>Close (60+): casual</t>
        </is>
      </c>
      <c r="D68" s="9" t="inlineStr">
        <is>
          <t>Nico</t>
        </is>
      </c>
      <c r="E68" s="9" t="inlineStr">
        <is>
          <t>Good afternoon, you did the hard work already, so today just take a slow, deep breath and let your shoulders drop so you can head into tomorrow feeling steady and clear. How are you feeling now that the interview is finally just a few hours away?</t>
        </is>
      </c>
      <c r="F68" s="9" t="inlineStr">
        <is>
          <t>こんにちは。準備はもう十分に頑張ってこられたので、今日はゆっくり深呼吸をして肩の力を抜き、落ち着いた澄んだ気持ちで明日を迎えられるようにしましょう。面接までいよいよあと数時間となりましたが、今のお気持ちはいかがですか？</t>
        </is>
      </c>
      <c r="G68" s="10" t="n"/>
      <c r="H68" s="10" t="n"/>
      <c r="I68" s="10" t="n"/>
      <c r="J68" s="10" t="n"/>
    </row>
    <row r="69">
      <c r="A69" s="9" t="n">
        <v>67</v>
      </c>
      <c r="B69" s="9" t="inlineStr">
        <is>
          <t>Daily one-liner</t>
        </is>
      </c>
      <c r="C69" s="9" t="inlineStr">
        <is>
          <t>Close (60+): casual</t>
        </is>
      </c>
      <c r="D69" s="9" t="inlineStr">
        <is>
          <t>Nico</t>
        </is>
      </c>
      <c r="E69" s="9" t="inlineStr">
        <is>
          <t>I hope the morning is treating you well, and I have been thinking—the results of that big interview might be on your mind today, so how are you feeling now that it is done?</t>
        </is>
      </c>
      <c r="F69" s="9" t="inlineStr">
        <is>
          <t>良い朝をお過ごしでしょうか。あの大きな面接の結果のことが、今日は少し気になっているのではないかと思っていました。無事に終わった今、どんなお気持ちですか？</t>
        </is>
      </c>
      <c r="G69" s="10" t="n"/>
      <c r="H69" s="10" t="n"/>
      <c r="I69" s="10" t="n"/>
      <c r="J69" s="10" t="n"/>
    </row>
  </sheetData>
  <dataValidations count="2">
    <dataValidation sqref="G3:G69" showDropDown="0" showInputMessage="0" showErrorMessage="0" allowBlank="1" error="1-5" type="whole" operator="between">
      <formula1>1</formula1>
      <formula2>5</formula2>
    </dataValidation>
    <dataValidation sqref="H3:H69"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9"/>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6" customWidth="1" min="3" max="3"/>
    <col width="60" customWidth="1" min="4" max="4"/>
    <col width="50" customWidth="1" min="5" max="5"/>
    <col width="10" customWidth="1" min="6" max="6"/>
    <col width="40" customWidth="1" min="7" max="7"/>
    <col width="30" customWidth="1" min="8" max="8"/>
  </cols>
  <sheetData>
    <row r="1" ht="34" customHeight="1">
      <c r="A1" s="5" t="inlineStr">
        <is>
          <t>No.</t>
        </is>
      </c>
      <c r="B1" s="5" t="inlineStr">
        <is>
          <t>Where it appears</t>
        </is>
      </c>
      <c r="C1" s="5" t="inlineStr">
        <is>
          <t>Item</t>
        </is>
      </c>
      <c r="D1" s="5" t="inlineStr">
        <is>
          <t>Text (check this)</t>
        </is>
      </c>
      <c r="E1" s="5" t="inlineStr">
        <is>
          <t>Japanese original</t>
        </is>
      </c>
      <c r="F1" s="5" t="inlineStr">
        <is>
          <t>OK? (Y/N)</t>
        </is>
      </c>
      <c r="G1" s="5" t="inlineStr">
        <is>
          <t>Your suggested wording</t>
        </is>
      </c>
      <c r="H1" s="5" t="inlineStr">
        <is>
          <t>Comment</t>
        </is>
      </c>
    </row>
    <row r="2">
      <c r="A2" s="6" t="inlineStr">
        <is>
          <t>例</t>
        </is>
      </c>
      <c r="B2" s="6" t="inlineStr">
        <is>
          <t>（記入例）</t>
        </is>
      </c>
      <c r="C2" s="6" t="inlineStr">
        <is>
          <t>—</t>
        </is>
      </c>
      <c r="D2" s="6" t="inlineStr">
        <is>
          <t>That sounds like a perfect way to shift gears.</t>
        </is>
      </c>
      <c r="E2" s="6" t="inlineStr">
        <is>
          <t>（記入例）</t>
        </is>
      </c>
      <c r="F2" s="6" t="inlineStr">
        <is>
          <t>N</t>
        </is>
      </c>
      <c r="G2" s="6" t="inlineStr">
        <is>
          <t>That sounds like a nice way to switch gears.</t>
        </is>
      </c>
      <c r="H2" s="6" t="inlineStr">
        <is>
          <t>Slightly stiff. Example row.</t>
        </is>
      </c>
    </row>
    <row r="3">
      <c r="A3" s="8" t="n">
        <v>1</v>
      </c>
      <c r="B3" s="8" t="inlineStr">
        <is>
          <t>最初のあいさつ（定型文）</t>
        </is>
      </c>
      <c r="C3" s="8" t="inlineStr">
        <is>
          <t>吹き出し1</t>
        </is>
      </c>
      <c r="D3" s="8" t="inlineStr">
        <is>
          <t>Hello, I’m Nico. From your birth date and birthplace, I’ve finished reading the stars you were born with and how your luck is flowing right now.</t>
        </is>
      </c>
      <c r="E3" s="8" t="inlineStr">
        <is>
          <t>はじめまして、Nicoです。あなたの生年月日と生まれた場所から、生まれ持った星と、いまの運気の流れを読み終えました。</t>
        </is>
      </c>
      <c r="F3" s="10" t="n"/>
      <c r="G3" s="10" t="n"/>
      <c r="H3" s="10" t="n"/>
    </row>
    <row r="4">
      <c r="A4" s="8" t="n">
        <v>2</v>
      </c>
      <c r="B4" s="8" t="inlineStr">
        <is>
          <t>最初のあいさつ（定型文）</t>
        </is>
      </c>
      <c r="C4" s="8" t="inlineStr">
        <is>
          <t>吹き出し2</t>
        </is>
      </c>
      <c r="D4" s="8" t="inlineStr">
        <is>
          <t>Before anything else, three things caught my eye.
Refined taste and a keen eye. You notice the smallest details.
This year (2026) is a year to build your footing and gather strength. And this month, every step you take brings a real response.
And I also found the star that shapes your pattern in love. Your love life and new encounters start to move around December.</t>
        </is>
      </c>
      <c r="E4" s="8" t="inlineStr">
        <is>
          <t>先に、目に留まったことを3つだけお伝えしますね。
美意識が高く、品とこだわりの人。細部まで見通す審美眼を持っています。
今年（2026年）は、土台を固めて力をためる年です。そして今月は、動いたぶんだけ手応えがある月。
それから、あなたの恋愛のクセを決めている星も見つけました。恋や出会いの流れが動き出すのは、12月ごろです。</t>
        </is>
      </c>
      <c r="F4" s="10" t="n"/>
      <c r="G4" s="10" t="n"/>
      <c r="H4" s="10" t="n"/>
    </row>
    <row r="5">
      <c r="A5" s="8" t="n">
        <v>3</v>
      </c>
      <c r="B5" s="8" t="inlineStr">
        <is>
          <t>最初のあいさつ（定型文）</t>
        </is>
      </c>
      <c r="C5" s="8" t="inlineStr">
        <is>
          <t>吹き出し3</t>
        </is>
      </c>
      <c r="D5" s="8" t="inlineStr">
        <is>
          <t>Curious about any of these? Just ask in your own words, like “tell me more about my love pattern”. Or start with anything at all: work, love, or how today went.</t>
        </is>
      </c>
      <c r="E5" s="8" t="inlineStr">
        <is>
          <t>気になったところがあれば、「恋愛のクセを詳しく」「いまの運気のことを詳しく」のように、そのまま言葉で聞いてくださいね。もちろん「仕事のこと」「今日あったこと」など、話したいことからでも大丈夫ですよ。</t>
        </is>
      </c>
      <c r="F5" s="10" t="n"/>
      <c r="G5" s="10" t="n"/>
      <c r="H5" s="10" t="n"/>
    </row>
    <row r="6">
      <c r="A6" s="8" t="n">
        <v>4</v>
      </c>
      <c r="B6" s="8" t="inlineStr">
        <is>
          <t>最初のあいさつ（定型文）</t>
        </is>
      </c>
      <c r="C6" s="8" t="inlineStr">
        <is>
          <t>吹き出し4</t>
        </is>
      </c>
      <c r="D6" s="8" t="inlineStr">
        <is>
          <t>And beyond your own reading, I can do a full compatibility reading too. Tell me someone’s birth date and I will lay your two natures side by side: where you click, where you tend to clash, what phase the two of you are in right now, and how to make it work. A partner or crush, family, friends, your boss or coworkers, anyone at all. Just write their birth date here, or tap “Compatibility” in the menu.</t>
        </is>
      </c>
      <c r="E6" s="8" t="inlineStr">
        <is>
          <t>そして、あなた一人の鑑定だけでなく、相性鑑定もしっかりできます。気になる人の生年月日を教えていただければ、おふたりの生まれ持った性質を重ね合わせて、どこが噛み合うのか、どこですれ違いやすいのか、いまのおふたりの時期の流れ、うまくいく付き合い方まで読み解きます。恋人や好きな人はもちろん、ご家族、友人、職場の上司や同僚など、どなたとでも見られます。このチャットに生年月日を書いていただくか、メニューの「相性を占う」からどうぞ。</t>
        </is>
      </c>
      <c r="F6" s="10" t="n"/>
      <c r="G6" s="10" t="n"/>
      <c r="H6" s="10" t="n"/>
    </row>
    <row r="7">
      <c r="A7" s="8" t="n">
        <v>5</v>
      </c>
      <c r="B7" s="8" t="inlineStr">
        <is>
          <t>最初のあいさつ（定型文）</t>
        </is>
      </c>
      <c r="C7" s="8" t="inlineStr">
        <is>
          <t>吹き出し5</t>
        </is>
      </c>
      <c r="D7" s="8" t="inlineStr">
        <is>
          <t>And whenever you wonder why a reading says what it does, just ask. I love explaining.</t>
        </is>
      </c>
      <c r="E7" s="8" t="inlineStr">
        <is>
          <t>鑑定の理由や「なんでそうなるの？」が気になったときも、遠慮なく聞いてくださいね。</t>
        </is>
      </c>
      <c r="F7" s="10" t="n"/>
      <c r="G7" s="10" t="n"/>
      <c r="H7" s="10" t="n"/>
    </row>
    <row r="8">
      <c r="A8" s="8" t="n">
        <v>6</v>
      </c>
      <c r="B8" s="8" t="inlineStr">
        <is>
          <t>最初の選択肢ボタン</t>
        </is>
      </c>
      <c r="C8" s="8" t="inlineStr">
        <is>
          <t>ボタン1</t>
        </is>
      </c>
      <c r="D8" s="8" t="inlineStr">
        <is>
          <t>Check our compatibility</t>
        </is>
      </c>
      <c r="E8" s="8" t="inlineStr">
        <is>
          <t>相性を見てほしい</t>
        </is>
      </c>
      <c r="F8" s="10" t="n"/>
      <c r="G8" s="10" t="n"/>
      <c r="H8" s="10" t="n"/>
    </row>
    <row r="9">
      <c r="A9" s="8" t="n">
        <v>7</v>
      </c>
      <c r="B9" s="8" t="inlineStr">
        <is>
          <t>最初の選択肢ボタン</t>
        </is>
      </c>
      <c r="C9" s="8" t="inlineStr">
        <is>
          <t>ボタン2</t>
        </is>
      </c>
      <c r="D9" s="8" t="inlineStr">
        <is>
          <t>Best days this month?</t>
        </is>
      </c>
      <c r="E9" s="8" t="inlineStr">
        <is>
          <t>今月のいい日は？</t>
        </is>
      </c>
      <c r="F9" s="10" t="n"/>
      <c r="G9" s="10" t="n"/>
      <c r="H9" s="10" t="n"/>
    </row>
    <row r="10">
      <c r="A10" s="8" t="n">
        <v>8</v>
      </c>
      <c r="B10" s="8" t="inlineStr">
        <is>
          <t>最初の選択肢ボタン</t>
        </is>
      </c>
      <c r="C10" s="8" t="inlineStr">
        <is>
          <t>ボタン3</t>
        </is>
      </c>
      <c r="D10" s="8" t="inlineStr">
        <is>
          <t>When will love move?</t>
        </is>
      </c>
      <c r="E10" s="8" t="inlineStr">
        <is>
          <t>恋が動くのはいつ？</t>
        </is>
      </c>
      <c r="F10" s="10" t="n"/>
      <c r="G10" s="10" t="n"/>
      <c r="H10" s="10" t="n"/>
    </row>
    <row r="11">
      <c r="A11" s="8" t="n">
        <v>9</v>
      </c>
      <c r="B11" s="8" t="inlineStr">
        <is>
          <t>最初の選択肢ボタン</t>
        </is>
      </c>
      <c r="C11" s="8" t="inlineStr">
        <is>
          <t>ボタン4</t>
        </is>
      </c>
      <c r="D11" s="8" t="inlineStr">
        <is>
          <t>How’s my love life?</t>
        </is>
      </c>
      <c r="E11" s="8" t="inlineStr">
        <is>
          <t>恋愛はどう？</t>
        </is>
      </c>
      <c r="F11" s="10" t="n"/>
      <c r="G11" s="10" t="n"/>
      <c r="H11" s="10" t="n"/>
    </row>
    <row r="12">
      <c r="A12" s="8" t="n">
        <v>10</v>
      </c>
      <c r="B12" s="8" t="inlineStr">
        <is>
          <t>最初の選択肢ボタン</t>
        </is>
      </c>
      <c r="C12" s="8" t="inlineStr">
        <is>
          <t>ボタン5</t>
        </is>
      </c>
      <c r="D12" s="8" t="inlineStr">
        <is>
          <t>What work suits me?</t>
        </is>
      </c>
      <c r="E12" s="8" t="inlineStr">
        <is>
          <t>向いてる仕事は？</t>
        </is>
      </c>
      <c r="F12" s="10" t="n"/>
      <c r="G12" s="10" t="n"/>
      <c r="H12" s="10" t="n"/>
    </row>
    <row r="13">
      <c r="A13" s="8" t="n">
        <v>11</v>
      </c>
      <c r="B13" s="8" t="inlineStr">
        <is>
          <t>最初の選択肢ボタン</t>
        </is>
      </c>
      <c r="C13" s="8" t="inlineStr">
        <is>
          <t>ボタン6</t>
        </is>
      </c>
      <c r="D13" s="8" t="inlineStr">
        <is>
          <t>This year’s luck?</t>
        </is>
      </c>
      <c r="E13" s="8" t="inlineStr">
        <is>
          <t>今年の運気は？</t>
        </is>
      </c>
      <c r="F13" s="10" t="n"/>
      <c r="G13" s="10" t="n"/>
      <c r="H13" s="10" t="n"/>
    </row>
    <row r="14">
      <c r="A14" s="8" t="n">
        <v>12</v>
      </c>
      <c r="B14" s="8" t="inlineStr">
        <is>
          <t>最初の選択肢ボタン</t>
        </is>
      </c>
      <c r="C14" s="8" t="inlineStr">
        <is>
          <t>ボタン7</t>
        </is>
      </c>
      <c r="D14" s="8" t="inlineStr">
        <is>
          <t>How to boost money luck?</t>
        </is>
      </c>
      <c r="E14" s="8" t="inlineStr">
        <is>
          <t>金運を上げるには？</t>
        </is>
      </c>
      <c r="F14" s="10" t="n"/>
      <c r="G14" s="10" t="n"/>
      <c r="H14" s="10" t="n"/>
    </row>
    <row r="15">
      <c r="A15" s="8" t="n">
        <v>13</v>
      </c>
      <c r="B15" s="8" t="inlineStr">
        <is>
          <t>最初の選択肢ボタン</t>
        </is>
      </c>
      <c r="C15" s="8" t="inlineStr">
        <is>
          <t>明日</t>
        </is>
      </c>
      <c r="D15" s="8" t="inlineStr">
        <is>
          <t>How’s tomorrow?</t>
        </is>
      </c>
      <c r="E15" s="8" t="inlineStr">
        <is>
          <t>明日はどんな日？</t>
        </is>
      </c>
      <c r="F15" s="10" t="n"/>
      <c r="G15" s="10" t="n"/>
      <c r="H15" s="10" t="n"/>
    </row>
    <row r="16">
      <c r="A16" s="8" t="n">
        <v>14</v>
      </c>
      <c r="B16" s="8" t="inlineStr">
        <is>
          <t>雑談が続いた時の案内（定型文）</t>
        </is>
      </c>
      <c r="C16" s="8" t="inlineStr">
        <is>
          <t>案内1</t>
        </is>
      </c>
      <c r="D16" s="8" t="inlineStr">
        <is>
          <t>I am enjoying our chat. Since I am your fortune teller, let me do what I do best too. Today is a calm-flow day for you. Pick something below, or just tell me what is on your mind.</t>
        </is>
      </c>
      <c r="E16" s="8" t="inlineStr">
        <is>
          <t>おしゃべり、楽しいです。せっかくなので、ここからは私の本業の鑑定もさせてください。今日はあなたにとって、流れがおだやかな日です。いま気になっていることを、下から選ぶか、そのまま書いてくださいね。</t>
        </is>
      </c>
      <c r="F16" s="10" t="n"/>
      <c r="G16" s="10" t="n"/>
      <c r="H16" s="10" t="n"/>
    </row>
    <row r="17">
      <c r="A17" s="8" t="n">
        <v>15</v>
      </c>
      <c r="B17" s="8" t="inlineStr">
        <is>
          <t>雑談が続いた時の案内（定型文）</t>
        </is>
      </c>
      <c r="C17" s="8" t="inlineStr">
        <is>
          <t>案内2</t>
        </is>
      </c>
      <c r="D17" s="8" t="inlineStr">
        <is>
          <t>Today is a calm-flow day for you. A day like this is also good for a proper reading. Love, work, or where your path is heading: where shall we start?</t>
        </is>
      </c>
      <c r="E17" s="8" t="inlineStr">
        <is>
          <t>今日はあなたにとって、流れがおだやかな日です。こういう日は、気になっていることをじっくり読むのにも向いています。恋愛、仕事、これからの流れ。どれから見ましょうか？</t>
        </is>
      </c>
      <c r="F17" s="10" t="n"/>
      <c r="G17" s="10" t="n"/>
      <c r="H17" s="10" t="n"/>
    </row>
    <row r="18">
      <c r="A18" s="8" t="n">
        <v>16</v>
      </c>
      <c r="B18" s="8" t="inlineStr">
        <is>
          <t>雑談が続いた時の案内（定型文）</t>
        </is>
      </c>
      <c r="C18" s="8" t="inlineStr">
        <is>
          <t>案内3</t>
        </is>
      </c>
      <c r="D18" s="8" t="inlineStr">
        <is>
          <t>I love that you talk to me. I am a reader, so bring me something I can really read from your chart too. What has been weighing on you most lately?</t>
        </is>
      </c>
      <c r="E18" s="8" t="inlineStr">
        <is>
          <t>たくさん話してくれて、うれしいです。私は鑑定師なので、あなたの命式から本気で読める話も、ぜひ聞かせてください。最近いちばん心に引っかかっていることは何ですか？</t>
        </is>
      </c>
      <c r="F18" s="10" t="n"/>
      <c r="G18" s="10" t="n"/>
      <c r="H18" s="10" t="n"/>
    </row>
    <row r="19">
      <c r="A19" s="8" t="n">
        <v>17</v>
      </c>
      <c r="B19" s="8" t="inlineStr">
        <is>
          <t>雑談3回目の誘い（定型文）</t>
        </is>
      </c>
      <c r="C19" s="8" t="inlineStr">
        <is>
          <t>ていねい</t>
        </is>
      </c>
      <c r="D19" s="8" t="inlineStr">
        <is>
          <t>By the way, what has been on your mind lately? Love, work, or a decision you are weighing, I can read it properly from your chart.</t>
        </is>
      </c>
      <c r="E19" s="8" t="inlineStr">
        <is>
          <t>ところで、最近いちばん気になっていることはありますか？恋愛でも、お仕事でも、迷っている決断でも、じっくり読みますね。</t>
        </is>
      </c>
      <c r="F19" s="10" t="n"/>
      <c r="G19" s="10" t="n"/>
      <c r="H19" s="10" t="n"/>
    </row>
    <row r="20">
      <c r="A20" s="8" t="n">
        <v>18</v>
      </c>
      <c r="B20" s="8" t="inlineStr">
        <is>
          <t>アカウント・メール確認の画面</t>
        </is>
      </c>
      <c r="C20" s="8" t="inlineStr">
        <is>
          <t>vfH</t>
        </is>
      </c>
      <c r="D20" s="8" t="inlineStr">
        <is>
          <t>Confirm your email</t>
        </is>
      </c>
      <c r="E20" s="8" t="inlineStr">
        <is>
          <t>メールアドレスの確認</t>
        </is>
      </c>
      <c r="F20" s="10" t="n"/>
      <c r="G20" s="10" t="n"/>
      <c r="H20" s="10" t="n"/>
    </row>
    <row r="21">
      <c r="A21" s="8" t="n">
        <v>19</v>
      </c>
      <c r="B21" s="8" t="inlineStr">
        <is>
          <t>アカウント・メール確認の画面</t>
        </is>
      </c>
      <c r="C21" s="8" t="inlineStr">
        <is>
          <t>vfLead</t>
        </is>
      </c>
      <c r="D21" s="8" t="inlineStr">
        <is>
          <t>We sent a 6-digit code to you@example.com. Enter the code from the email (valid for 30 minutes). If you cannot find it, check your spam folder.</t>
        </is>
      </c>
      <c r="E21" s="8" t="inlineStr">
        <is>
          <t>you@example.com に、6桁の確認コードを送りました。メールに書かれたコードを入力してください（30分間有効）。届かない時は、迷惑メールのフォルダもご確認ください。</t>
        </is>
      </c>
      <c r="F21" s="10" t="n"/>
      <c r="G21" s="10" t="n"/>
      <c r="H21" s="10" t="n"/>
    </row>
    <row r="22">
      <c r="A22" s="8" t="n">
        <v>20</v>
      </c>
      <c r="B22" s="8" t="inlineStr">
        <is>
          <t>アカウント・メール確認の画面</t>
        </is>
      </c>
      <c r="C22" s="8" t="inlineStr">
        <is>
          <t>vfCodeL</t>
        </is>
      </c>
      <c r="D22" s="8" t="inlineStr">
        <is>
          <t>Verification code (6 digits)</t>
        </is>
      </c>
      <c r="E22" s="8" t="inlineStr">
        <is>
          <t>確認コード（6桁）</t>
        </is>
      </c>
      <c r="F22" s="10" t="n"/>
      <c r="G22" s="10" t="n"/>
      <c r="H22" s="10" t="n"/>
    </row>
    <row r="23">
      <c r="A23" s="8" t="n">
        <v>21</v>
      </c>
      <c r="B23" s="8" t="inlineStr">
        <is>
          <t>アカウント・メール確認の画面</t>
        </is>
      </c>
      <c r="C23" s="8" t="inlineStr">
        <is>
          <t>vfBtn</t>
        </is>
      </c>
      <c r="D23" s="8" t="inlineStr">
        <is>
          <t>Confirm</t>
        </is>
      </c>
      <c r="E23" s="8" t="inlineStr">
        <is>
          <t>確認する</t>
        </is>
      </c>
      <c r="F23" s="10" t="n"/>
      <c r="G23" s="10" t="n"/>
      <c r="H23" s="10" t="n"/>
    </row>
    <row r="24">
      <c r="A24" s="8" t="n">
        <v>22</v>
      </c>
      <c r="B24" s="8" t="inlineStr">
        <is>
          <t>アカウント・メール確認の画面</t>
        </is>
      </c>
      <c r="C24" s="8" t="inlineStr">
        <is>
          <t>vfResend</t>
        </is>
      </c>
      <c r="D24" s="8" t="inlineStr">
        <is>
          <t>Send the code again</t>
        </is>
      </c>
      <c r="E24" s="8" t="inlineStr">
        <is>
          <t>コードを送り直す</t>
        </is>
      </c>
      <c r="F24" s="10" t="n"/>
      <c r="G24" s="10" t="n"/>
      <c r="H24" s="10" t="n"/>
    </row>
    <row r="25">
      <c r="A25" s="8" t="n">
        <v>23</v>
      </c>
      <c r="B25" s="8" t="inlineStr">
        <is>
          <t>アカウント・メール確認の画面</t>
        </is>
      </c>
      <c r="C25" s="8" t="inlineStr">
        <is>
          <t>vfResent</t>
        </is>
      </c>
      <c r="D25" s="8" t="inlineStr">
        <is>
          <t>We sent a new code</t>
        </is>
      </c>
      <c r="E25" s="8" t="inlineStr">
        <is>
          <t>確認コードを送り直しました</t>
        </is>
      </c>
      <c r="F25" s="10" t="n"/>
      <c r="G25" s="10" t="n"/>
      <c r="H25" s="10" t="n"/>
    </row>
    <row r="26">
      <c r="A26" s="8" t="n">
        <v>24</v>
      </c>
      <c r="B26" s="8" t="inlineStr">
        <is>
          <t>アカウント・メール確認の画面</t>
        </is>
      </c>
      <c r="C26" s="8" t="inlineStr">
        <is>
          <t>vfWrong</t>
        </is>
      </c>
      <c r="D26" s="8" t="inlineStr">
        <is>
          <t>Wrong email? Change it here</t>
        </is>
      </c>
      <c r="E26" s="8" t="inlineStr">
        <is>
          <t>メールアドレスを間違えた・変えたい</t>
        </is>
      </c>
      <c r="F26" s="10" t="n"/>
      <c r="G26" s="10" t="n"/>
      <c r="H26" s="10" t="n"/>
    </row>
    <row r="27">
      <c r="A27" s="8" t="n">
        <v>25</v>
      </c>
      <c r="B27" s="8" t="inlineStr">
        <is>
          <t>アカウント・メール確認の画面</t>
        </is>
      </c>
      <c r="C27" s="8" t="inlineStr">
        <is>
          <t>newEm</t>
        </is>
      </c>
      <c r="D27" s="8" t="inlineStr">
        <is>
          <t>New email</t>
        </is>
      </c>
      <c r="E27" s="8" t="inlineStr">
        <is>
          <t>新しいメールアドレス</t>
        </is>
      </c>
      <c r="F27" s="10" t="n"/>
      <c r="G27" s="10" t="n"/>
      <c r="H27" s="10" t="n"/>
    </row>
    <row r="28">
      <c r="A28" s="8" t="n">
        <v>26</v>
      </c>
      <c r="B28" s="8" t="inlineStr">
        <is>
          <t>アカウント・メール確認の画面</t>
        </is>
      </c>
      <c r="C28" s="8" t="inlineStr">
        <is>
          <t>chgEmBtn</t>
        </is>
      </c>
      <c r="D28" s="8" t="inlineStr">
        <is>
          <t>Send a code to this address</t>
        </is>
      </c>
      <c r="E28" s="8" t="inlineStr">
        <is>
          <t>このアドレスに確認コードを送る</t>
        </is>
      </c>
      <c r="F28" s="10" t="n"/>
      <c r="G28" s="10" t="n"/>
      <c r="H28" s="10" t="n"/>
    </row>
    <row r="29">
      <c r="A29" s="8" t="n">
        <v>27</v>
      </c>
      <c r="B29" s="8" t="inlineStr">
        <is>
          <t>アカウント・メール確認の画面</t>
        </is>
      </c>
      <c r="C29" s="8" t="inlineStr">
        <is>
          <t>vfLater</t>
        </is>
      </c>
      <c r="D29" s="8" t="inlineStr">
        <is>
          <t>Confirm later</t>
        </is>
      </c>
      <c r="E29" s="8" t="inlineStr">
        <is>
          <t>あとで確認する</t>
        </is>
      </c>
      <c r="F29" s="10" t="n"/>
      <c r="G29" s="10" t="n"/>
      <c r="H29" s="10" t="n"/>
    </row>
    <row r="30">
      <c r="A30" s="8" t="n">
        <v>28</v>
      </c>
      <c r="B30" s="8" t="inlineStr">
        <is>
          <t>アカウント・メール確認の画面</t>
        </is>
      </c>
      <c r="C30" s="8" t="inlineStr">
        <is>
          <t>vfNote</t>
        </is>
      </c>
      <c r="D30" s="8" t="inlineStr">
        <is>
          <t>Without confirming, you may not receive a password reset email if you forget your password. You can confirm later in My Page.</t>
        </is>
      </c>
      <c r="E30" s="8" t="inlineStr">
        <is>
          <t>確認していないと、パスワードを忘れた時の再設定メールが届かないことがあります。あとからマイページで確認できます。</t>
        </is>
      </c>
      <c r="F30" s="10" t="n"/>
      <c r="G30" s="10" t="n"/>
      <c r="H30" s="10" t="n"/>
    </row>
    <row r="31">
      <c r="A31" s="8" t="n">
        <v>29</v>
      </c>
      <c r="B31" s="8" t="inlineStr">
        <is>
          <t>アカウント・メール確認の画面</t>
        </is>
      </c>
      <c r="C31" s="8" t="inlineStr">
        <is>
          <t>vfDone</t>
        </is>
      </c>
      <c r="D31" s="8" t="inlineStr">
        <is>
          <t>Your email is confirmed</t>
        </is>
      </c>
      <c r="E31" s="8" t="inlineStr">
        <is>
          <t>メールアドレスを確認しました</t>
        </is>
      </c>
      <c r="F31" s="10" t="n"/>
      <c r="G31" s="10" t="n"/>
      <c r="H31" s="10" t="n"/>
    </row>
    <row r="32">
      <c r="A32" s="8" t="n">
        <v>30</v>
      </c>
      <c r="B32" s="8" t="inlineStr">
        <is>
          <t>アカウント・メール確認の画面</t>
        </is>
      </c>
      <c r="C32" s="8" t="inlineStr">
        <is>
          <t>emChgDone</t>
        </is>
      </c>
      <c r="D32" s="8" t="inlineStr">
        <is>
          <t>Your email is now you@example.com. Use this address to sign in from now on.</t>
        </is>
      </c>
      <c r="E32" s="8" t="inlineStr">
        <is>
          <t>メールアドレスを you@example.com に変更しました。次からは、このアドレスでログインします。</t>
        </is>
      </c>
      <c r="F32" s="10" t="n"/>
      <c r="G32" s="10" t="n"/>
      <c r="H32" s="10" t="n"/>
    </row>
    <row r="33">
      <c r="A33" s="8" t="n">
        <v>31</v>
      </c>
      <c r="B33" s="8" t="inlineStr">
        <is>
          <t>アカウント・メール確認の画面</t>
        </is>
      </c>
      <c r="C33" s="8" t="inlineStr">
        <is>
          <t>stOk</t>
        </is>
      </c>
      <c r="D33" s="8" t="inlineStr">
        <is>
          <t>Confirmed</t>
        </is>
      </c>
      <c r="E33" s="8" t="inlineStr">
        <is>
          <t>確認済み</t>
        </is>
      </c>
      <c r="F33" s="10" t="n"/>
      <c r="G33" s="10" t="n"/>
      <c r="H33" s="10" t="n"/>
    </row>
    <row r="34">
      <c r="A34" s="8" t="n">
        <v>32</v>
      </c>
      <c r="B34" s="8" t="inlineStr">
        <is>
          <t>アカウント・メール確認の画面</t>
        </is>
      </c>
      <c r="C34" s="8" t="inlineStr">
        <is>
          <t>stNo</t>
        </is>
      </c>
      <c r="D34" s="8" t="inlineStr">
        <is>
          <t>Not confirmed</t>
        </is>
      </c>
      <c r="E34" s="8" t="inlineStr">
        <is>
          <t>未確認</t>
        </is>
      </c>
      <c r="F34" s="10" t="n"/>
      <c r="G34" s="10" t="n"/>
      <c r="H34" s="10" t="n"/>
    </row>
    <row r="35">
      <c r="A35" s="8" t="n">
        <v>33</v>
      </c>
      <c r="B35" s="8" t="inlineStr">
        <is>
          <t>アカウント・メール確認の画面</t>
        </is>
      </c>
      <c r="C35" s="8" t="inlineStr">
        <is>
          <t>vfGo</t>
        </is>
      </c>
      <c r="D35" s="8" t="inlineStr">
        <is>
          <t>Confirm email</t>
        </is>
      </c>
      <c r="E35" s="8" t="inlineStr">
        <is>
          <t>メールを確認する</t>
        </is>
      </c>
      <c r="F35" s="10" t="n"/>
      <c r="G35" s="10" t="n"/>
      <c r="H35" s="10" t="n"/>
    </row>
    <row r="36">
      <c r="A36" s="8" t="n">
        <v>34</v>
      </c>
      <c r="B36" s="8" t="inlineStr">
        <is>
          <t>アカウント・メール確認の画面</t>
        </is>
      </c>
      <c r="C36" s="8" t="inlineStr">
        <is>
          <t>chgEm</t>
        </is>
      </c>
      <c r="D36" s="8" t="inlineStr">
        <is>
          <t>Change email</t>
        </is>
      </c>
      <c r="E36" s="8" t="inlineStr">
        <is>
          <t>メールアドレスを変更</t>
        </is>
      </c>
      <c r="F36" s="10" t="n"/>
      <c r="G36" s="10" t="n"/>
      <c r="H36" s="10" t="n"/>
    </row>
    <row r="37">
      <c r="A37" s="8" t="n">
        <v>35</v>
      </c>
      <c r="B37" s="8" t="inlineStr">
        <is>
          <t>アカウント・メール確認の画面</t>
        </is>
      </c>
      <c r="C37" s="8" t="inlineStr">
        <is>
          <t>acctT</t>
        </is>
      </c>
      <c r="D37" s="8" t="inlineStr">
        <is>
          <t>Account</t>
        </is>
      </c>
      <c r="E37" s="8" t="inlineStr">
        <is>
          <t>アカウント</t>
        </is>
      </c>
      <c r="F37" s="10" t="n"/>
      <c r="G37" s="10" t="n"/>
      <c r="H37" s="10" t="n"/>
    </row>
    <row r="38">
      <c r="A38" s="8" t="n">
        <v>36</v>
      </c>
      <c r="B38" s="8" t="inlineStr">
        <is>
          <t>アカウント・メール確認の画面</t>
        </is>
      </c>
      <c r="C38" s="8" t="inlineStr">
        <is>
          <t>logout</t>
        </is>
      </c>
      <c r="D38" s="8" t="inlineStr">
        <is>
          <t>Sign out</t>
        </is>
      </c>
      <c r="E38" s="8" t="inlineStr">
        <is>
          <t>ログアウト</t>
        </is>
      </c>
      <c r="F38" s="10" t="n"/>
      <c r="G38" s="10" t="n"/>
      <c r="H38" s="10" t="n"/>
    </row>
    <row r="39">
      <c r="A39" s="8" t="n">
        <v>37</v>
      </c>
      <c r="B39" s="8" t="inlineStr">
        <is>
          <t>アカウント・メール確認の画面</t>
        </is>
      </c>
      <c r="C39" s="8" t="inlineStr">
        <is>
          <t>logoutQ</t>
        </is>
      </c>
      <c r="D39" s="8" t="inlineStr">
        <is>
          <t>Signing out removes your data (your details and chats) from this device (it stays saved in your account). Sign out?</t>
        </is>
      </c>
      <c r="E39" s="8" t="inlineStr">
        <is>
          <t>ログアウトすると、この端末からデータ（登録内容と会話）が消えます（アカウントには保存されています）。ログアウトしますか？</t>
        </is>
      </c>
      <c r="F39" s="10" t="n"/>
      <c r="G39" s="10" t="n"/>
      <c r="H39" s="10" t="n"/>
    </row>
    <row r="40">
      <c r="A40" s="8" t="n">
        <v>38</v>
      </c>
      <c r="B40" s="8" t="inlineStr">
        <is>
          <t>アカウント・メール確認の画面</t>
        </is>
      </c>
      <c r="C40" s="8" t="inlineStr">
        <is>
          <t>miOutD</t>
        </is>
      </c>
      <c r="D40" s="8" t="inlineStr">
        <is>
          <t>Sign out on this device (your data stays in your account)</t>
        </is>
      </c>
      <c r="E40" s="8" t="inlineStr">
        <is>
          <t>この端末からログアウトします（データはアカウントに残ります）</t>
        </is>
      </c>
      <c r="F40" s="10" t="n"/>
      <c r="G40" s="10" t="n"/>
      <c r="H40" s="10" t="n"/>
    </row>
    <row r="41">
      <c r="A41" s="8" t="n">
        <v>39</v>
      </c>
      <c r="B41" s="8" t="inlineStr">
        <is>
          <t>アカウント・メール確認の画面</t>
        </is>
      </c>
      <c r="C41" s="8" t="inlineStr">
        <is>
          <t>e_BAD_CODE</t>
        </is>
      </c>
      <c r="D41" s="8" t="inlineStr">
        <is>
          <t>That code is not correct. Please check the email again.</t>
        </is>
      </c>
      <c r="E41" s="8" t="inlineStr">
        <is>
          <t>コードが違います。メールのコードをもう一度ご確認ください</t>
        </is>
      </c>
      <c r="F41" s="10" t="n"/>
      <c r="G41" s="10" t="n"/>
      <c r="H41" s="10" t="n"/>
    </row>
    <row r="42">
      <c r="A42" s="8" t="n">
        <v>40</v>
      </c>
      <c r="B42" s="8" t="inlineStr">
        <is>
          <t>アカウント・メール確認の画面</t>
        </is>
      </c>
      <c r="C42" s="8" t="inlineStr">
        <is>
          <t>e_CODE_EXPIRED</t>
        </is>
      </c>
      <c r="D42" s="8" t="inlineStr">
        <is>
          <t>This code can no longer be used (expired or too many tries). Tap "Send the code again".</t>
        </is>
      </c>
      <c r="E42" s="8" t="inlineStr">
        <is>
          <t>このコードは使えなくなりました（期限切れ、または間違いが多すぎます）。「コードを送り直す」を押してください</t>
        </is>
      </c>
      <c r="F42" s="10" t="n"/>
      <c r="G42" s="10" t="n"/>
      <c r="H42" s="10" t="n"/>
    </row>
    <row r="43">
      <c r="A43" s="8" t="n">
        <v>41</v>
      </c>
      <c r="B43" s="8" t="inlineStr">
        <is>
          <t>アカウント・メール確認の画面</t>
        </is>
      </c>
      <c r="C43" s="8" t="inlineStr">
        <is>
          <t>e_CODE_RATE</t>
        </is>
      </c>
      <c r="D43" s="8" t="inlineStr">
        <is>
          <t>Too many codes were sent. Please try again in about an hour.</t>
        </is>
      </c>
      <c r="E43" s="8" t="inlineStr">
        <is>
          <t>コードの送信が多すぎます。1時間ほどしてからお試しください</t>
        </is>
      </c>
      <c r="F43" s="10" t="n"/>
      <c r="G43" s="10" t="n"/>
      <c r="H43" s="10" t="n"/>
    </row>
    <row r="44">
      <c r="A44" s="8" t="n">
        <v>42</v>
      </c>
      <c r="B44" s="8" t="inlineStr">
        <is>
          <t>アカウント・メール確認の画面</t>
        </is>
      </c>
      <c r="C44" s="8" t="inlineStr">
        <is>
          <t>e_SAME_EMAIL</t>
        </is>
      </c>
      <c r="D44" s="8" t="inlineStr">
        <is>
          <t>That is your current email</t>
        </is>
      </c>
      <c r="E44" s="8" t="inlineStr">
        <is>
          <t>今と同じメールアドレスです</t>
        </is>
      </c>
      <c r="F44" s="10" t="n"/>
      <c r="G44" s="10" t="n"/>
      <c r="H44" s="10" t="n"/>
    </row>
    <row r="45">
      <c r="A45" s="8" t="n">
        <v>43</v>
      </c>
      <c r="B45" s="8" t="inlineStr">
        <is>
          <t>アカウント・メール確認の画面</t>
        </is>
      </c>
      <c r="C45" s="8" t="inlineStr">
        <is>
          <t>e_TAKEN</t>
        </is>
      </c>
      <c r="D45" s="8" t="inlineStr">
        <is>
          <t>This email is already used by another account</t>
        </is>
      </c>
      <c r="E45" s="8" t="inlineStr">
        <is>
          <t>このメールアドレスは、ほかのアカウントで使われています</t>
        </is>
      </c>
      <c r="F45" s="10" t="n"/>
      <c r="G45" s="10" t="n"/>
      <c r="H45" s="10" t="n"/>
    </row>
    <row r="46">
      <c r="A46" s="8" t="n">
        <v>44</v>
      </c>
      <c r="B46" s="8" t="inlineStr">
        <is>
          <t>アカウント・メール確認の画面</t>
        </is>
      </c>
      <c r="C46" s="8" t="inlineStr">
        <is>
          <t>e_NO_MAIL</t>
        </is>
      </c>
      <c r="D46" s="8" t="inlineStr">
        <is>
          <t>We cannot send email right now. Please try again later.</t>
        </is>
      </c>
      <c r="E46" s="8" t="inlineStr">
        <is>
          <t>ただいまメールを送れません。時間をおいてお試しください</t>
        </is>
      </c>
      <c r="F46" s="10" t="n"/>
      <c r="G46" s="10" t="n"/>
      <c r="H46" s="10" t="n"/>
    </row>
    <row r="47">
      <c r="A47" s="8" t="n">
        <v>45</v>
      </c>
      <c r="B47" s="8" t="inlineStr">
        <is>
          <t>アカウント・メール確認の画面</t>
        </is>
      </c>
      <c r="C47" s="8" t="inlineStr">
        <is>
          <t>e_MAIL_FAIL</t>
        </is>
      </c>
      <c r="D47" s="8" t="inlineStr">
        <is>
          <t>We could not send the email. Please check the address and try again later.</t>
        </is>
      </c>
      <c r="E47" s="8" t="inlineStr">
        <is>
          <t>メールを送れませんでした。アドレスをご確認のうえ、時間をおいてお試しください</t>
        </is>
      </c>
      <c r="F47" s="10" t="n"/>
      <c r="G47" s="10" t="n"/>
      <c r="H47" s="10" t="n"/>
    </row>
    <row r="48">
      <c r="A48" s="8" t="n">
        <v>46</v>
      </c>
      <c r="B48" s="8" t="inlineStr">
        <is>
          <t>本格鑑定の回数</t>
        </is>
      </c>
      <c r="C48" s="8" t="inlineStr">
        <is>
          <t>残り5回のお知らせ</t>
        </is>
      </c>
      <c r="D48" s="8" t="inlineStr">
        <is>
          <t>(Just so you know: you have {n} in-depth readings left this month. Chatting continues as usual.)</t>
        </is>
      </c>
      <c r="E48" s="8" t="inlineStr">
        <is>
          <t>（お知らせ：今月の本格鑑定は、あと{n}回です。雑談はこのまま続けられるよ）</t>
        </is>
      </c>
      <c r="F48" s="10" t="n"/>
      <c r="G48" s="10" t="n"/>
      <c r="H48" s="10" t="n"/>
    </row>
    <row r="49">
      <c r="A49" s="8" t="n">
        <v>47</v>
      </c>
      <c r="B49" s="8" t="inlineStr">
        <is>
          <t>本格鑑定の回数</t>
        </is>
      </c>
      <c r="C49" s="8" t="inlineStr">
        <is>
          <t>使い切った時（チャット）</t>
        </is>
      </c>
      <c r="D49" s="8" t="inlineStr">
        <is>
          <t>I’m sorry — it looks like you’ve used up this month’s in-depth readings.
But we can keep chatting (chatting doesn’t count). If you’d like to go deeper, you can move up to the next plan.</t>
        </is>
      </c>
      <c r="E49" s="8" t="inlineStr">
        <is>
          <t>ごめんね、今月ぶんの本格鑑定を使い切っちゃったみたい。
でも、雑談ならこのまま続けられるよ（雑談は回数に含まれないんだ）。もっと本格的に相談したいときは、ひとつ上のプランにできるよ。</t>
        </is>
      </c>
      <c r="F49" s="10" t="n"/>
      <c r="G49" s="10" t="n"/>
      <c r="H49" s="10" t="n"/>
    </row>
    <row r="50">
      <c r="A50" s="8" t="n">
        <v>48</v>
      </c>
      <c r="B50" s="8" t="inlineStr">
        <is>
          <t>本格鑑定の回数</t>
        </is>
      </c>
      <c r="C50" s="8" t="inlineStr">
        <is>
          <t>使い切った時（VIP）</t>
        </is>
      </c>
      <c r="D50" s="8" t="inlineStr">
        <is>
          <t>I’m sorry — it looks like you’ve used up this month’s in-depth readings.
But we can keep chatting (chatting doesn’t count). Your in-depth readings will be back next month.</t>
        </is>
      </c>
      <c r="E50" s="8" t="inlineStr">
        <is>
          <t>ごめんね、今月ぶんの本格鑑定を使い切っちゃったみたい。
でも、雑談ならこのまま続けられるよ（雑談は回数に含まれないんだ）。本格鑑定は、来月になるとまた使えるからね。</t>
        </is>
      </c>
      <c r="F50" s="10" t="n"/>
      <c r="G50" s="10" t="n"/>
      <c r="H50" s="10" t="n"/>
    </row>
    <row r="51">
      <c r="A51" s="8" t="n">
        <v>49</v>
      </c>
      <c r="B51" s="8" t="inlineStr">
        <is>
          <t>本格鑑定を使い切った時のポップアップ</t>
        </is>
      </c>
      <c r="C51" s="8" t="inlineStr">
        <is>
          <t>t</t>
        </is>
      </c>
      <c r="D51" s="8" t="inlineStr">
        <is>
          <t>You’ve used this month’s in-depth readings</t>
        </is>
      </c>
      <c r="E51" s="8" t="inlineStr">
        <is>
          <t>今月の本格鑑定を使い切りました</t>
        </is>
      </c>
      <c r="F51" s="10" t="n"/>
      <c r="G51" s="10" t="n"/>
      <c r="H51" s="10" t="n"/>
    </row>
    <row r="52">
      <c r="A52" s="8" t="n">
        <v>50</v>
      </c>
      <c r="B52" s="8" t="inlineStr">
        <is>
          <t>本格鑑定を使い切った時のポップアップ</t>
        </is>
      </c>
      <c r="C52" s="8" t="inlineStr">
        <is>
          <t>d</t>
        </is>
      </c>
      <c r="D52" s="8" t="inlineStr">
        <is>
          <t>You can keep chatting as usual. In-depth readings will be available again on {d}.</t>
        </is>
      </c>
      <c r="E52" s="8" t="inlineStr">
        <is>
          <t>雑談はこのまま続けられます。本格鑑定は {d} に、また使えるようになります。</t>
        </is>
      </c>
      <c r="F52" s="10" t="n"/>
      <c r="G52" s="10" t="n"/>
      <c r="H52" s="10" t="n"/>
    </row>
    <row r="53">
      <c r="A53" s="8" t="n">
        <v>51</v>
      </c>
      <c r="B53" s="8" t="inlineStr">
        <is>
          <t>本格鑑定を使い切った時のポップアップ</t>
        </is>
      </c>
      <c r="C53" s="8" t="inlineStr">
        <is>
          <t>n</t>
        </is>
      </c>
      <c r="D53" s="8" t="inlineStr">
        <is>
          <t>You can keep chatting as usual. In-depth readings will be available again from your next renewal date.</t>
        </is>
      </c>
      <c r="E53" s="8" t="inlineStr">
        <is>
          <t>雑談はこのまま続けられます。本格鑑定は、次の更新日にまた使えるようになります。</t>
        </is>
      </c>
      <c r="F53" s="10" t="n"/>
      <c r="G53" s="10" t="n"/>
      <c r="H53" s="10" t="n"/>
    </row>
    <row r="54">
      <c r="A54" s="8" t="n">
        <v>52</v>
      </c>
      <c r="B54" s="8" t="inlineStr">
        <is>
          <t>本格鑑定を使い切った時のポップアップ</t>
        </is>
      </c>
      <c r="C54" s="8" t="inlineStr">
        <is>
          <t>up</t>
        </is>
      </c>
      <c r="D54" s="8" t="inlineStr">
        <is>
          <t>If you’d like to continue right away, you can switch to a higher plan.</t>
        </is>
      </c>
      <c r="E54" s="8" t="inlineStr">
        <is>
          <t>すぐに本格鑑定を続けたい時は、上のプランに変えることもできます。</t>
        </is>
      </c>
      <c r="F54" s="10" t="n"/>
      <c r="G54" s="10" t="n"/>
      <c r="H54" s="10" t="n"/>
    </row>
    <row r="55">
      <c r="A55" s="8" t="n">
        <v>53</v>
      </c>
      <c r="B55" s="8" t="inlineStr">
        <is>
          <t>本格鑑定を使い切った時のポップアップ</t>
        </is>
      </c>
      <c r="C55" s="8" t="inlineStr">
        <is>
          <t>bUp</t>
        </is>
      </c>
      <c r="D55" s="8" t="inlineStr">
        <is>
          <t>See higher plans</t>
        </is>
      </c>
      <c r="E55" s="8" t="inlineStr">
        <is>
          <t>上のプランを見る</t>
        </is>
      </c>
      <c r="F55" s="10" t="n"/>
      <c r="G55" s="10" t="n"/>
      <c r="H55" s="10" t="n"/>
    </row>
    <row r="56">
      <c r="A56" s="8" t="n">
        <v>54</v>
      </c>
      <c r="B56" s="8" t="inlineStr">
        <is>
          <t>本格鑑定を使い切った時のポップアップ</t>
        </is>
      </c>
      <c r="C56" s="8" t="inlineStr">
        <is>
          <t>bWait</t>
        </is>
      </c>
      <c r="D56" s="8" t="inlineStr">
        <is>
          <t>Wait for the next renewal</t>
        </is>
      </c>
      <c r="E56" s="8" t="inlineStr">
        <is>
          <t>次の更新まで待つ</t>
        </is>
      </c>
      <c r="F56" s="10" t="n"/>
      <c r="G56" s="10" t="n"/>
      <c r="H56" s="10" t="n"/>
    </row>
    <row r="57">
      <c r="A57" s="8" t="n">
        <v>55</v>
      </c>
      <c r="B57" s="8" t="inlineStr">
        <is>
          <t>本格鑑定を使い切った時のポップアップ</t>
        </is>
      </c>
      <c r="C57" s="8" t="inlineStr">
        <is>
          <t>bOk</t>
        </is>
      </c>
      <c r="D57" s="8" t="inlineStr">
        <is>
          <t>OK</t>
        </is>
      </c>
      <c r="E57" s="8" t="inlineStr">
        <is>
          <t>わかりました</t>
        </is>
      </c>
      <c r="F57" s="10" t="n"/>
      <c r="G57" s="10" t="n"/>
      <c r="H57" s="10" t="n"/>
    </row>
    <row r="58">
      <c r="A58" s="8" t="n">
        <v>56</v>
      </c>
      <c r="B58" s="8" t="inlineStr">
        <is>
          <t>料金</t>
        </is>
      </c>
      <c r="C58" s="8" t="inlineStr">
        <is>
          <t>本格鑑定とは</t>
        </is>
      </c>
      <c r="D58" s="8" t="inlineStr">
        <is>
          <t>💡 An in-depth reading is a consultation read carefully from your chart — love, marriage, deep worries, big decisions and the like. Quick greetings and small talk don’t count. (If chatting passes the daily guideline, you can pick it up again tomorrow. In-depth readings stay available.)</t>
        </is>
      </c>
      <c r="E58" s="8" t="inlineStr">
        <is>
          <t>💡 本格鑑定とは、恋愛・結婚・深い悩み・大事な決断など、命式からじっくり読み解く鑑定のことです。ちょっとしたあいさつや雑談は数えません。（雑談が1日の目安を超えた時は、翌日にまたお話しできます。本格鑑定はそのまま使えます）</t>
        </is>
      </c>
      <c r="F58" s="10" t="n"/>
      <c r="G58" s="10" t="n"/>
      <c r="H58" s="10" t="n"/>
    </row>
    <row r="59">
      <c r="A59" s="8" t="n">
        <v>57</v>
      </c>
      <c r="B59" s="8" t="inlineStr">
        <is>
          <t>雑談の1日の枠</t>
        </is>
      </c>
      <c r="C59" s="8" t="inlineStr">
        <is>
          <t>雑談はまた明日</t>
        </is>
      </c>
      <c r="D59" s="8" t="inlineStr">
        <is>
          <t>We’ve chatted a lot today! Casual chat will be available again tomorrow.
You can still ask me for in-depth readings — love, work, life decisions — right now.</t>
        </is>
      </c>
      <c r="E59" s="8" t="inlineStr">
        <is>
          <t>きょうは雑談をたくさんしたね。雑談は、あしたになるとまた話せるよ。
恋愛・仕事・人生の決断など、本格的な相談はこのまま聞けるからね。</t>
        </is>
      </c>
      <c r="F59" s="10" t="n"/>
      <c r="G59" s="10" t="n"/>
      <c r="H59" s="10" t="n"/>
    </row>
  </sheetData>
  <dataValidations count="1">
    <dataValidation sqref="F3:F59" showDropDown="0" showInputMessage="0" showErrorMessage="0" allowBlank="1" type="list">
      <formula1>"Y,N"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3"/>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60" customWidth="1" min="3" max="3"/>
    <col width="50" customWidth="1" min="4" max="4"/>
    <col width="10" customWidth="1" min="5" max="5"/>
    <col width="40" customWidth="1" min="6" max="6"/>
    <col width="30" customWidth="1" min="7" max="7"/>
  </cols>
  <sheetData>
    <row r="1" ht="34" customHeight="1">
      <c r="A1" s="5" t="inlineStr">
        <is>
          <t>No.</t>
        </is>
      </c>
      <c r="B1" s="5" t="inlineStr">
        <is>
          <t>Item</t>
        </is>
      </c>
      <c r="C1" s="5" t="inlineStr">
        <is>
          <t>Text (check this)</t>
        </is>
      </c>
      <c r="D1" s="5" t="inlineStr">
        <is>
          <t>Japanese original</t>
        </is>
      </c>
      <c r="E1" s="5" t="inlineStr">
        <is>
          <t>OK? (Y/N)</t>
        </is>
      </c>
      <c r="F1" s="5" t="inlineStr">
        <is>
          <t>Your suggested wording</t>
        </is>
      </c>
      <c r="G1" s="5" t="inlineStr">
        <is>
          <t>Comment</t>
        </is>
      </c>
    </row>
    <row r="2">
      <c r="A2" s="6" t="inlineStr">
        <is>
          <t>例</t>
        </is>
      </c>
      <c r="B2" s="6" t="inlineStr">
        <is>
          <t>—</t>
        </is>
      </c>
      <c r="C2" s="6" t="inlineStr">
        <is>
          <t>That sounds like a perfect way to shift gears.</t>
        </is>
      </c>
      <c r="D2" s="6" t="inlineStr">
        <is>
          <t>（記入例）</t>
        </is>
      </c>
      <c r="E2" s="6" t="inlineStr">
        <is>
          <t>N</t>
        </is>
      </c>
      <c r="F2" s="6" t="inlineStr">
        <is>
          <t>That sounds like a nice way to switch gears.</t>
        </is>
      </c>
      <c r="G2" s="6" t="inlineStr">
        <is>
          <t>Slightly stiff. Example row.</t>
        </is>
      </c>
    </row>
    <row r="3">
      <c r="A3" s="8" t="n">
        <v>1</v>
      </c>
      <c r="B3" s="8" t="inlineStr">
        <is>
          <t>PAGE_TITLE</t>
        </is>
      </c>
      <c r="C3" s="8" t="inlineStr">
        <is>
          <t>Pocket Kantei — Your Personal Fortune Teller, by Chat</t>
        </is>
      </c>
      <c r="D3" s="8" t="inlineStr">
        <is>
          <t>Pocket 本格鑑定｜あなた専属の鑑定師と、チャットで本格四柱推命</t>
        </is>
      </c>
      <c r="E3" s="10" t="n"/>
      <c r="F3" s="10" t="n"/>
      <c r="G3" s="10" t="n"/>
    </row>
    <row r="4">
      <c r="A4" s="8" t="n">
        <v>2</v>
      </c>
      <c r="B4" s="8" t="inlineStr">
        <is>
          <t>PAGE_DESC</t>
        </is>
      </c>
      <c r="C4" s="8" t="inlineStr">
        <is>
          <t>Readings created just for you from your exact birth chart — never templates. Chat anytime with Nico, your personal Four Pillars (BaZi) reader.</t>
        </is>
      </c>
      <c r="D4" s="8" t="inlineStr">
        <is>
          <t>テンプレ文章ではなく、生年月日から読み解いた“あなただけの命式”で鑑定。あなた専属の鑑定師Nicoに、チャットでいつでも相談できます。</t>
        </is>
      </c>
      <c r="E4" s="10" t="n"/>
      <c r="F4" s="10" t="n"/>
      <c r="G4" s="10" t="n"/>
    </row>
    <row r="5">
      <c r="A5" s="8" t="n">
        <v>3</v>
      </c>
      <c r="B5" s="8" t="inlineStr">
        <is>
          <t>eyebrow</t>
        </is>
      </c>
      <c r="C5" s="8" t="inlineStr">
        <is>
          <t>Chat anytime, anywhere</t>
        </is>
      </c>
      <c r="D5" s="8" t="inlineStr">
        <is>
          <t>いつでもチャットで相談</t>
        </is>
      </c>
      <c r="E5" s="10" t="n"/>
      <c r="F5" s="10" t="n"/>
      <c r="G5" s="10" t="n"/>
    </row>
    <row r="6">
      <c r="A6" s="8" t="n">
        <v>4</v>
      </c>
      <c r="B6" s="8" t="inlineStr">
        <is>
          <t>h1</t>
        </is>
      </c>
      <c r="C6" s="8" t="inlineStr">
        <is>
          <t>A personal fortune teller , right in your pocket.</t>
        </is>
      </c>
      <c r="D6" s="8" t="inlineStr">
        <is>
          <t>ポケットの中に、 あなた専属の鑑定師 を。</t>
        </is>
      </c>
      <c r="E6" s="10" t="n"/>
      <c r="F6" s="10" t="n"/>
      <c r="G6" s="10" t="n"/>
    </row>
    <row r="7">
      <c r="A7" s="8" t="n">
        <v>5</v>
      </c>
      <c r="B7" s="8" t="inlineStr">
        <is>
          <t>lede</t>
        </is>
      </c>
      <c r="C7" s="8" t="inlineStr">
        <is>
          <t>Set your birth date once. Then ask anytime, as often as you like — just like sending a message.</t>
        </is>
      </c>
      <c r="D7" s="8" t="inlineStr">
        <is>
          <t>生年月日を最初に一度だけ登録。あとは メッセージを送る感覚で、いつでも何度でも プロの四柱推命に相談できます。</t>
        </is>
      </c>
      <c r="E7" s="10" t="n"/>
      <c r="F7" s="10" t="n"/>
      <c r="G7" s="10" t="n"/>
    </row>
    <row r="8">
      <c r="A8" s="8" t="n">
        <v>6</v>
      </c>
      <c r="B8" s="8" t="inlineStr">
        <is>
          <t>bubbleHello</t>
        </is>
      </c>
      <c r="C8" s="8" t="inlineStr">
        <is>
          <t>Hi, I'm Nico. What's on your mind today?</t>
        </is>
      </c>
      <c r="D8" s="8" t="inlineStr">
        <is>
          <t>こんにちは、Nicoです。 今日は何を話しましょう?</t>
        </is>
      </c>
      <c r="E8" s="10" t="n"/>
      <c r="F8" s="10" t="n"/>
      <c r="G8" s="10" t="n"/>
    </row>
    <row r="9">
      <c r="A9" s="8" t="n">
        <v>7</v>
      </c>
      <c r="B9" s="8" t="inlineStr">
        <is>
          <t>proof1t</t>
        </is>
      </c>
      <c r="C9" s="8" t="inlineStr">
        <is>
          <t>No booking</t>
        </is>
      </c>
      <c r="D9" s="8" t="inlineStr">
        <is>
          <t>予約不要</t>
        </is>
      </c>
      <c r="E9" s="10" t="n"/>
      <c r="F9" s="10" t="n"/>
      <c r="G9" s="10" t="n"/>
    </row>
    <row r="10">
      <c r="A10" s="8" t="n">
        <v>8</v>
      </c>
      <c r="B10" s="8" t="inlineStr">
        <is>
          <t>proof1s</t>
        </is>
      </c>
      <c r="C10" s="8" t="inlineStr">
        <is>
          <t>Ask the moment you think of it</t>
        </is>
      </c>
      <c r="D10" s="8" t="inlineStr">
        <is>
          <t>思い立ったら、すぐ</t>
        </is>
      </c>
      <c r="E10" s="10" t="n"/>
      <c r="F10" s="10" t="n"/>
      <c r="G10" s="10" t="n"/>
    </row>
    <row r="11">
      <c r="A11" s="8" t="n">
        <v>9</v>
      </c>
      <c r="B11" s="8" t="inlineStr">
        <is>
          <t>proof2t</t>
        </is>
      </c>
      <c r="C11" s="8" t="inlineStr">
        <is>
          <t>Fast replies</t>
        </is>
      </c>
      <c r="D11" s="8" t="inlineStr">
        <is>
          <t>すぐに返信</t>
        </is>
      </c>
      <c r="E11" s="10" t="n"/>
      <c r="F11" s="10" t="n"/>
      <c r="G11" s="10" t="n"/>
    </row>
    <row r="12">
      <c r="A12" s="8" t="n">
        <v>10</v>
      </c>
      <c r="B12" s="8" t="inlineStr">
        <is>
          <t>proof2s</t>
        </is>
      </c>
      <c r="C12" s="8" t="inlineStr">
        <is>
          <t>No waiting rooms</t>
        </is>
      </c>
      <c r="D12" s="8" t="inlineStr">
        <is>
          <t>待たされない相談</t>
        </is>
      </c>
      <c r="E12" s="10" t="n"/>
      <c r="F12" s="10" t="n"/>
      <c r="G12" s="10" t="n"/>
    </row>
    <row r="13">
      <c r="A13" s="8" t="n">
        <v>11</v>
      </c>
      <c r="B13" s="8" t="inlineStr">
        <is>
          <t>proof3t</t>
        </is>
      </c>
      <c r="C13" s="8" t="inlineStr">
        <is>
          <t>Safely saved to your account</t>
        </is>
      </c>
      <c r="D13" s="8" t="inlineStr">
        <is>
          <t>アカウントに 安全に保存</t>
        </is>
      </c>
      <c r="E13" s="10" t="n"/>
      <c r="F13" s="10" t="n"/>
      <c r="G13" s="10" t="n"/>
    </row>
    <row r="14">
      <c r="A14" s="8" t="n">
        <v>12</v>
      </c>
      <c r="B14" s="8" t="inlineStr">
        <is>
          <t>proof3s</t>
        </is>
      </c>
      <c r="C14" s="8" t="inlineStr">
        <is>
          <t>Pick up on any new phone</t>
        </is>
      </c>
      <c r="D14" s="8" t="inlineStr">
        <is>
          <t>機種を変えても 続きから使えます</t>
        </is>
      </c>
      <c r="E14" s="10" t="n"/>
      <c r="F14" s="10" t="n"/>
      <c r="G14" s="10" t="n"/>
    </row>
    <row r="15">
      <c r="A15" s="8" t="n">
        <v>13</v>
      </c>
      <c r="B15" s="8" t="inlineStr">
        <is>
          <t>nicoOverline</t>
        </is>
      </c>
      <c r="C15" s="8" t="inlineStr">
        <is>
          <t>MEET NICO</t>
        </is>
      </c>
      <c r="D15" s="8" t="inlineStr">
        <is>
          <t>鑑定師のごあいさつ</t>
        </is>
      </c>
      <c r="E15" s="10" t="n"/>
      <c r="F15" s="10" t="n"/>
      <c r="G15" s="10" t="n"/>
    </row>
    <row r="16">
      <c r="A16" s="8" t="n">
        <v>14</v>
      </c>
      <c r="B16" s="8" t="inlineStr">
        <is>
          <t>nicoT</t>
        </is>
      </c>
      <c r="C16" s="8" t="inlineStr">
        <is>
          <t>Hello, I&amp;#39;m Nico .</t>
        </is>
      </c>
      <c r="D16" s="8" t="inlineStr">
        <is>
          <t>はじめまして、 Nico です。</t>
        </is>
      </c>
      <c r="E16" s="10" t="n"/>
      <c r="F16" s="10" t="n"/>
      <c r="G16" s="10" t="n"/>
    </row>
    <row r="17">
      <c r="A17" s="8" t="n">
        <v>15</v>
      </c>
      <c r="B17" s="8" t="inlineStr">
        <is>
          <t>nicoCred</t>
        </is>
      </c>
      <c r="C17" s="8" t="inlineStr">
        <is>
          <t>A Four Pillars (BaZi) reader who has also studied I Ching, Nine Star astrology, palmistry and name analysis.</t>
        </is>
      </c>
      <c r="D17" s="8" t="inlineStr">
        <is>
          <t>四柱推命を軸に、易経・九星術・手相・姓名判断も学んできた鑑定師です。</t>
        </is>
      </c>
      <c r="E17" s="10" t="n"/>
      <c r="F17" s="10" t="n"/>
      <c r="G17" s="10" t="n"/>
    </row>
    <row r="18">
      <c r="A18" s="8" t="n">
        <v>16</v>
      </c>
      <c r="B18" s="8" t="inlineStr">
        <is>
          <t>nicoMsg</t>
        </is>
      </c>
      <c r="C18" s="8" t="inlineStr">
        <is>
          <t>Four Pillars is a thousand-year-old Eastern art that reads the user manual of a life from your birth date and time. Why is it so uncannily accurate? Captivated by that mystery, I have spent years studying this world — I Ching, Nine Star Ki, palmistry, name analysis and more. Everything I learned went into building Pocket Kantei, made just for you. These readings are never templates. Your chart alone is read, with the reasoning laid out clearly. 365 days a year, morning or midnight — when it hurts, when you are stuck, when something wonderful happens, tell me everything. I will walk beside you toward a happier life, with clear and logical explanations.</t>
        </is>
      </c>
      <c r="D18" s="8" t="inlineStr">
        <is>
          <t>四柱推命は、生年月日と生まれた時間から人生の“取扱説明書”を読み解く、千年の歴史を持つ東洋の英知です。 なぜ、こんなにも当たるのか。 その不思議さと面白さに魅了されて、易経・九星術・手相・姓名判断まで、私はこの世界をずっと学びつづけてきました。——そして、 学んだすべてを注ぎ込んで作ったのが、あなただけの「Pocket本格鑑定」です。 この鑑定は、テンプレートの文章ではありません。 あなたの命式だけを見て、根拠とともに読み解く「あなた専用の鑑定」です。 365日、朝でも夜中でも。つらいとき、困ったとき、うれしいことがあったとき、Nicoになんでも話してください。ロジカルな解説とともに、あなたの幸せな生活を伴走します。</t>
        </is>
      </c>
      <c r="E18" s="10" t="n"/>
      <c r="F18" s="10" t="n"/>
      <c r="G18" s="10" t="n"/>
    </row>
    <row r="19">
      <c r="A19" s="8" t="n">
        <v>17</v>
      </c>
      <c r="B19" s="8" t="inlineStr">
        <is>
          <t>howOverline</t>
        </is>
      </c>
      <c r="C19" s="8" t="inlineStr">
        <is>
          <t>WHAT IS THIS?</t>
        </is>
      </c>
      <c r="D19" s="8" t="inlineStr">
        <is>
          <t>このサイトは何？</t>
        </is>
      </c>
      <c r="E19" s="10" t="n"/>
      <c r="F19" s="10" t="n"/>
      <c r="G19" s="10" t="n"/>
    </row>
    <row r="20">
      <c r="A20" s="8" t="n">
        <v>18</v>
      </c>
      <c r="B20" s="8" t="inlineStr">
        <is>
          <t>howT</t>
        </is>
      </c>
      <c r="C20" s="8" t="inlineStr">
        <is>
          <t>Real chart, real theory — Four Pillars by chat .</t>
        </is>
      </c>
      <c r="D20" s="8" t="inlineStr">
        <is>
          <t>本物の命式で占う、 チャット式の四柱推命 。</t>
        </is>
      </c>
      <c r="E20" s="10" t="n"/>
      <c r="F20" s="10" t="n"/>
      <c r="G20" s="10" t="n"/>
    </row>
    <row r="21">
      <c r="A21" s="8" t="n">
        <v>19</v>
      </c>
      <c r="B21" s="8" t="inlineStr">
        <is>
          <t>howLead</t>
        </is>
      </c>
      <c r="C21" s="8" t="inlineStr">
        <is>
          <t>Four Pillars (BaZi) is a thousand-year-old Eastern art: your birth year, month, day and hour become four "pillars" that reveal your nature and the flow of your fortune. Together they form your chart — like your own user manual, set at the moment you were born. Don’t know your birth time? You’re in good company — many people don’t. Your birth date alone gives a full, solid reading.</t>
        </is>
      </c>
      <c r="D21" s="8" t="inlineStr">
        <is>
          <t>四柱推命は、生まれた「年・月・日・時間」を4本の柱で表し、そこからあなたの性質と運の流れを読み解く、千年つづく東洋占術です。この4本の柱をまとめたものが「命式」——生まれた瞬間に決まる、あなただけの“取扱説明書（トリセツ）”のようなもの。 生まれた時間がわからなくても大丈夫。生年月日だけでも、しっかり読み解けます。</t>
        </is>
      </c>
      <c r="E21" s="10" t="n"/>
      <c r="F21" s="10" t="n"/>
      <c r="G21" s="10" t="n"/>
    </row>
    <row r="22">
      <c r="A22" s="8" t="n">
        <v>20</v>
      </c>
      <c r="B22" s="8" t="inlineStr">
        <is>
          <t>howMech</t>
        </is>
      </c>
      <c r="C22" s="8" t="inlineStr">
        <is>
          <t>Inside Pocket Kantei, a dedicated engine computes your chart precisely — including your 10-year luck cycles and each year’s fortune (even correcting for your birthplace’s time difference, to the minute). That solid data is then interpreted through logic built from Nico’s expertise, and delivered to you in plain chat. Nothing is guessed — so every answer is consistent, grounded, and yours alone.</t>
        </is>
      </c>
      <c r="D22" s="8" t="inlineStr">
        <is>
          <t>Pocket本格鑑定の中では、専用の計算エンジンが あなたの命式・十年ごとの大運・毎年の運気までを正確に算出 します（生まれた土地の時差まで分単位で補正）。その確かな計算結果を、鑑定師Nicoの知見を組み込んだロジックが読み解き、チャットの言葉で届けます。 計算を勘に頼らない——だから何度聞いても筋が通った、あなただけの鑑定になります。</t>
        </is>
      </c>
      <c r="E22" s="10" t="n"/>
      <c r="F22" s="10" t="n"/>
      <c r="G22" s="10" t="n"/>
    </row>
    <row r="23">
      <c r="A23" s="8" t="n">
        <v>21</v>
      </c>
      <c r="B23" s="8" t="inlineStr">
        <is>
          <t>howS1t</t>
        </is>
      </c>
      <c r="C23" s="8" t="inlineStr">
        <is>
          <t>Register your birth date and place</t>
        </is>
      </c>
      <c r="D23" s="8" t="inlineStr">
        <is>
          <t>生年月日と生まれた場所を登録</t>
        </is>
      </c>
      <c r="E23" s="10" t="n"/>
      <c r="F23" s="10" t="n"/>
      <c r="G23" s="10" t="n"/>
    </row>
    <row r="24">
      <c r="A24" s="8" t="n">
        <v>22</v>
      </c>
      <c r="B24" s="8" t="inlineStr">
        <is>
          <t>howS1d</t>
        </is>
      </c>
      <c r="C24" s="8" t="inlineStr">
        <is>
          <t>Just once, about a minute. Don’t know your birth time? Choose “time unknown” — your birth date alone is enough for a solid reading.</t>
        </is>
      </c>
      <c r="D24" s="8" t="inlineStr">
        <is>
          <t>最初の一度だけ、約1分。生まれた時間がわからなければ「時間不明」を選ぶだけでOK。生年月日だけでしっかり鑑定できます。</t>
        </is>
      </c>
      <c r="E24" s="10" t="n"/>
      <c r="F24" s="10" t="n"/>
      <c r="G24" s="10" t="n"/>
    </row>
    <row r="25">
      <c r="A25" s="8" t="n">
        <v>23</v>
      </c>
      <c r="B25" s="8" t="inlineStr">
        <is>
          <t>howS2t</t>
        </is>
      </c>
      <c r="C25" s="8" t="inlineStr">
        <is>
          <t>Your chart is built automatically</t>
        </is>
      </c>
      <c r="D25" s="8" t="inlineStr">
        <is>
          <t>あなたの命式が自動で完成</t>
        </is>
      </c>
      <c r="E25" s="10" t="n"/>
      <c r="F25" s="10" t="n"/>
      <c r="G25" s="10" t="n"/>
    </row>
    <row r="26">
      <c r="A26" s="8" t="n">
        <v>24</v>
      </c>
      <c r="B26" s="8" t="inlineStr">
        <is>
          <t>howS2d</t>
        </is>
      </c>
      <c r="C26" s="8" t="inlineStr">
        <is>
          <t>Four pillars, five elements, luck cycles. View it anytime under "Chart".</t>
        </is>
      </c>
      <c r="D26" s="8" t="inlineStr">
        <is>
          <t>四本の柱・五行バランス・大運まで。アプリ内の「命式」からいつでも見られます。</t>
        </is>
      </c>
      <c r="E26" s="10" t="n"/>
      <c r="F26" s="10" t="n"/>
      <c r="G26" s="10" t="n"/>
    </row>
    <row r="27">
      <c r="A27" s="8" t="n">
        <v>25</v>
      </c>
      <c r="B27" s="8" t="inlineStr">
        <is>
          <t>howS3t</t>
        </is>
      </c>
      <c r="C27" s="8" t="inlineStr">
        <is>
          <t>Then just chat — about anything</t>
        </is>
      </c>
      <c r="D27" s="8" t="inlineStr">
        <is>
          <t>あとはチャットで、なんでも相談</t>
        </is>
      </c>
      <c r="E27" s="10" t="n"/>
      <c r="F27" s="10" t="n"/>
      <c r="G27" s="10" t="n"/>
    </row>
    <row r="28">
      <c r="A28" s="8" t="n">
        <v>26</v>
      </c>
      <c r="B28" s="8" t="inlineStr">
        <is>
          <t>howS3d</t>
        </is>
      </c>
      <c r="C28" s="8" t="inlineStr">
        <is>
          <t>Love, work, compatibility, today’s fortune. Like texting a friend, 365 days a year.</t>
        </is>
      </c>
      <c r="D28" s="8" t="inlineStr">
        <is>
          <t>恋愛・仕事・相性・今日の運勢。メッセージを送る感覚で、365日いつでも。</t>
        </is>
      </c>
      <c r="E28" s="10" t="n"/>
      <c r="F28" s="10" t="n"/>
      <c r="G28" s="10" t="n"/>
    </row>
    <row r="29">
      <c r="A29" s="8" t="n">
        <v>27</v>
      </c>
      <c r="B29" s="8" t="inlineStr">
        <is>
          <t>vsOverline</t>
        </is>
      </c>
      <c r="C29" s="8" t="inlineStr">
        <is>
          <t>WESTERN ASTROLOGY &amp; BAZI</t>
        </is>
      </c>
      <c r="D29" s="8" t="inlineStr">
        <is>
          <t>西洋占星術とのちがい</t>
        </is>
      </c>
      <c r="E29" s="10" t="n"/>
      <c r="F29" s="10" t="n"/>
      <c r="G29" s="10" t="n"/>
    </row>
    <row r="30">
      <c r="A30" s="8" t="n">
        <v>28</v>
      </c>
      <c r="B30" s="8" t="inlineStr">
        <is>
          <t>vsT</t>
        </is>
      </c>
      <c r="C30" s="8" t="inlineStr">
        <is>
          <t>Astrology reads the stars. Four Pillars reads the calendar .</t>
        </is>
      </c>
      <c r="D30" s="8" t="inlineStr">
        <is>
          <t>星空を読む占星術、 暦を読む四柱推命 。</t>
        </is>
      </c>
      <c r="E30" s="10" t="n"/>
      <c r="F30" s="10" t="n"/>
      <c r="G30" s="10" t="n"/>
    </row>
    <row r="31">
      <c r="A31" s="8" t="n">
        <v>29</v>
      </c>
      <c r="B31" s="8" t="inlineStr">
        <is>
          <t>vsLead</t>
        </is>
      </c>
      <c r="C31" s="8" t="inlineStr">
        <is>
          <t>Western astrology is a beautiful system refined over centuries. The difference is what each one reads: astrology reads the positions of the stars at your birth; Four Pillars reads the calendar of that moment — the cycle of yin-yang and the five elements.</t>
        </is>
      </c>
      <c r="D31" s="8" t="inlineStr">
        <is>
          <t>西洋占星術も、長い歴史の中で磨かれてきた素晴らしい体系です。ちがいは「何から読むか」。占星術は生まれた瞬間の星の配置から、四柱推命は生まれた瞬間の暦——陰陽五行のめぐり——から読み解きます。</t>
        </is>
      </c>
      <c r="E31" s="10" t="n"/>
      <c r="F31" s="10" t="n"/>
      <c r="G31" s="10" t="n"/>
    </row>
    <row r="32">
      <c r="A32" s="8" t="n">
        <v>30</v>
      </c>
      <c r="B32" s="8" t="inlineStr">
        <is>
          <t>vsH1</t>
        </is>
      </c>
      <c r="C32" s="8" t="inlineStr">
        <is>
          <t>Western astrology</t>
        </is>
      </c>
      <c r="D32" s="8" t="inlineStr">
        <is>
          <t>西洋占星術</t>
        </is>
      </c>
      <c r="E32" s="10" t="n"/>
      <c r="F32" s="10" t="n"/>
      <c r="G32" s="10" t="n"/>
    </row>
    <row r="33">
      <c r="A33" s="8" t="n">
        <v>31</v>
      </c>
      <c r="B33" s="8" t="inlineStr">
        <is>
          <t>vsH2</t>
        </is>
      </c>
      <c r="C33" s="8" t="inlineStr">
        <is>
          <t>Four Pillars (BaZi)</t>
        </is>
      </c>
      <c r="D33" s="8" t="inlineStr">
        <is>
          <t>四柱推命</t>
        </is>
      </c>
      <c r="E33" s="10" t="n"/>
      <c r="F33" s="10" t="n"/>
      <c r="G33" s="10" t="n"/>
    </row>
    <row r="34">
      <c r="A34" s="8" t="n">
        <v>32</v>
      </c>
      <c r="B34" s="8" t="inlineStr">
        <is>
          <t>vsR1a</t>
        </is>
      </c>
      <c r="C34" s="8" t="inlineStr">
        <is>
          <t>Reads the star positions at your birth</t>
        </is>
      </c>
      <c r="D34" s="8" t="inlineStr">
        <is>
          <t>生まれた瞬間の「星の配置」を読む</t>
        </is>
      </c>
      <c r="E34" s="10" t="n"/>
      <c r="F34" s="10" t="n"/>
      <c r="G34" s="10" t="n"/>
    </row>
    <row r="35">
      <c r="A35" s="8" t="n">
        <v>33</v>
      </c>
      <c r="B35" s="8" t="inlineStr">
        <is>
          <t>vsR1b</t>
        </is>
      </c>
      <c r="C35" s="8" t="inlineStr">
        <is>
          <t>Reads the calendar (five elements) of that moment</t>
        </is>
      </c>
      <c r="D35" s="8" t="inlineStr">
        <is>
          <t>生まれた瞬間の「暦（陰陽五行）」を読む</t>
        </is>
      </c>
      <c r="E35" s="10" t="n"/>
      <c r="F35" s="10" t="n"/>
      <c r="G35" s="10" t="n"/>
    </row>
    <row r="36">
      <c r="A36" s="8" t="n">
        <v>34</v>
      </c>
      <c r="B36" s="8" t="inlineStr">
        <is>
          <t>vsR2a</t>
        </is>
      </c>
      <c r="C36" s="8" t="inlineStr">
        <is>
          <t>Captures your nature through 12 signs</t>
        </is>
      </c>
      <c r="D36" s="8" t="inlineStr">
        <is>
          <t>12星座で性質をとらえる</t>
        </is>
      </c>
      <c r="E36" s="10" t="n"/>
      <c r="F36" s="10" t="n"/>
      <c r="G36" s="10" t="n"/>
    </row>
    <row r="37">
      <c r="A37" s="8" t="n">
        <v>35</v>
      </c>
      <c r="B37" s="8" t="inlineStr">
        <is>
          <t>vsR2b</t>
        </is>
      </c>
      <c r="C37" s="8" t="inlineStr">
        <is>
          <t>Hundreds of thousands of pillar combinations — it reads you as an individual</t>
        </is>
      </c>
      <c r="D37" s="8" t="inlineStr">
        <is>
          <t>四本の柱の組み合わせは数十万通り。あなた個人を読む</t>
        </is>
      </c>
      <c r="E37" s="10" t="n"/>
      <c r="F37" s="10" t="n"/>
      <c r="G37" s="10" t="n"/>
    </row>
    <row r="38">
      <c r="A38" s="8" t="n">
        <v>36</v>
      </c>
      <c r="B38" s="8" t="inlineStr">
        <is>
          <t>vsR3a</t>
        </is>
      </c>
      <c r="C38" s="8" t="inlineStr">
        <is>
          <t>Strong on personality and inner themes</t>
        </is>
      </c>
      <c r="D38" s="8" t="inlineStr">
        <is>
          <t>性格・内面・心のテーマが得意</t>
        </is>
      </c>
      <c r="E38" s="10" t="n"/>
      <c r="F38" s="10" t="n"/>
      <c r="G38" s="10" t="n"/>
    </row>
    <row r="39">
      <c r="A39" s="8" t="n">
        <v>37</v>
      </c>
      <c r="B39" s="8" t="inlineStr">
        <is>
          <t>vsR3b</t>
        </is>
      </c>
      <c r="C39" s="8" t="inlineStr">
        <is>
          <t>Strong on timing — the flow of your 10-year, yearly and daily luck</t>
        </is>
      </c>
      <c r="D39" s="8" t="inlineStr">
        <is>
          <t>運気の流れとタイミング（10年・1年・今日）が得意</t>
        </is>
      </c>
      <c r="E39" s="10" t="n"/>
      <c r="F39" s="10" t="n"/>
      <c r="G39" s="10" t="n"/>
    </row>
    <row r="40">
      <c r="A40" s="8" t="n">
        <v>38</v>
      </c>
      <c r="B40" s="8" t="inlineStr">
        <is>
          <t>vsClose</t>
        </is>
      </c>
      <c r="C40" s="8" t="inlineStr">
        <is>
          <t>It is not about which one is right — they simply look at different things, and knowing both makes it richer. Nico even connects the reading to your own zodiac sign.</t>
        </is>
      </c>
      <c r="D40" s="8" t="inlineStr">
        <is>
          <t>どちらが当たる、ではありません。見ているものがちがうから、両方知るともっと面白い。あなたの星座も踏まえながら、Nicoがつないで解説します。</t>
        </is>
      </c>
      <c r="E40" s="10" t="n"/>
      <c r="F40" s="10" t="n"/>
      <c r="G40" s="10" t="n"/>
    </row>
    <row r="41">
      <c r="A41" s="8" t="n">
        <v>39</v>
      </c>
      <c r="B41" s="8" t="inlineStr">
        <is>
          <t>langsTitle</t>
        </is>
      </c>
      <c r="C41" s="8" t="inlineStr">
        <is>
          <t>4 LANGUAGES · TAP TO SWITCH</t>
        </is>
      </c>
      <c r="D41" s="8" t="inlineStr">
        <is>
          <t>4言語対応 · タップで切替</t>
        </is>
      </c>
      <c r="E41" s="10" t="n"/>
      <c r="F41" s="10" t="n"/>
      <c r="G41" s="10" t="n"/>
    </row>
    <row r="42">
      <c r="A42" s="8" t="n">
        <v>40</v>
      </c>
      <c r="B42" s="8" t="inlineStr">
        <is>
          <t>langsCap</t>
        </is>
      </c>
      <c r="C42" s="8" t="inlineStr">
        <is>
          <t>Wherever you download it, authentic readings arrive in your mother tongue.</t>
        </is>
      </c>
      <c r="D42" s="8" t="inlineStr">
        <is>
          <t>どの国でダウンロードしても、母語で本格鑑定が届きます。</t>
        </is>
      </c>
      <c r="E42" s="10" t="n"/>
      <c r="F42" s="10" t="n"/>
      <c r="G42" s="10" t="n"/>
    </row>
    <row r="43">
      <c r="A43" s="8" t="n">
        <v>41</v>
      </c>
      <c r="B43" s="8" t="inlineStr">
        <is>
          <t>secOverline3</t>
        </is>
      </c>
      <c r="C43" s="8" t="inlineStr">
        <is>
          <t>PREVIEW</t>
        </is>
      </c>
      <c r="D43" s="8" t="inlineStr">
        <is>
          <t>鑑定プレビュー</t>
        </is>
      </c>
      <c r="E43" s="10" t="n"/>
      <c r="F43" s="10" t="n"/>
      <c r="G43" s="10" t="n"/>
    </row>
    <row r="44">
      <c r="A44" s="8" t="n">
        <v>42</v>
      </c>
      <c r="B44" s="8" t="inlineStr">
        <is>
          <t>pvT</t>
        </is>
      </c>
      <c r="C44" s="8" t="inlineStr">
        <is>
          <t>This is what a reading feels like.</t>
        </is>
      </c>
      <c r="D44" s="8" t="inlineStr">
        <is>
          <t>こんな 雰囲気で、相談できます。</t>
        </is>
      </c>
      <c r="E44" s="10" t="n"/>
      <c r="F44" s="10" t="n"/>
      <c r="G44" s="10" t="n"/>
    </row>
    <row r="45">
      <c r="A45" s="8" t="n">
        <v>43</v>
      </c>
      <c r="B45" s="8" t="inlineStr">
        <is>
          <t>pvLead</t>
        </is>
      </c>
      <c r="C45" s="8" t="inlineStr">
        <is>
          <t>Feels like a messaging app. Not a formal reading room — just a conversation.</t>
        </is>
      </c>
      <c r="D45" s="8" t="inlineStr">
        <is>
          <t>メッセージアプリの感覚のまま。堅苦しい鑑定の場ではなく、日常の相談の延長です。</t>
        </is>
      </c>
      <c r="E45" s="10" t="n"/>
      <c r="F45" s="10" t="n"/>
      <c r="G45" s="10" t="n"/>
    </row>
    <row r="46">
      <c r="A46" s="8" t="n">
        <v>44</v>
      </c>
      <c r="B46" s="8" t="inlineStr">
        <is>
          <t>pvSt</t>
        </is>
      </c>
      <c r="C46" s="8" t="inlineStr">
        <is>
          <t>Online · replies fast</t>
        </is>
      </c>
      <c r="D46" s="8" t="inlineStr">
        <is>
          <t>オンライン・すぐ返信</t>
        </is>
      </c>
      <c r="E46" s="10" t="n"/>
      <c r="F46" s="10" t="n"/>
      <c r="G46" s="10" t="n"/>
    </row>
    <row r="47">
      <c r="A47" s="8" t="n">
        <v>45</v>
      </c>
      <c r="B47" s="8" t="inlineStr">
        <is>
          <t>pvTime</t>
        </is>
      </c>
      <c r="C47" s="8" t="inlineStr">
        <is>
          <t>Today 21:47</t>
        </is>
      </c>
      <c r="D47" s="8" t="inlineStr">
        <is>
          <t>今日 21:47</t>
        </is>
      </c>
      <c r="E47" s="10" t="n"/>
      <c r="F47" s="10" t="n"/>
      <c r="G47" s="10" t="n"/>
    </row>
    <row r="48">
      <c r="A48" s="8" t="n">
        <v>46</v>
      </c>
      <c r="B48" s="8" t="inlineStr">
        <is>
          <t>pvQ</t>
        </is>
      </c>
      <c r="C48" s="8" t="inlineStr">
        <is>
          <t>Work hasn't been going well lately… is my luck bad right now?</t>
        </is>
      </c>
      <c r="D48" s="8" t="inlineStr">
        <is>
          <t>最近仕事がうまくいかなくて…今って運気悪いの?</t>
        </is>
      </c>
      <c r="E48" s="10" t="n"/>
      <c r="F48" s="10" t="n"/>
      <c r="G48" s="10" t="n"/>
    </row>
    <row r="49">
      <c r="A49" s="8" t="n">
        <v>47</v>
      </c>
      <c r="B49" s="8" t="inlineStr">
        <is>
          <t>pvA1</t>
        </is>
      </c>
      <c r="C49" s="8" t="inlineStr">
        <is>
          <t>You're at a turning point in a much larger current. Restlessness is natural — proof you're trying to move forward.</t>
        </is>
      </c>
      <c r="D49" s="8" t="inlineStr">
        <is>
          <t>今のあなたは、大きな流れの変わり目にいます。焦りが出やすい時期だけど、それは前に進もうとしている証拠。</t>
        </is>
      </c>
      <c r="E49" s="10" t="n"/>
      <c r="F49" s="10" t="n"/>
      <c r="G49" s="10" t="n"/>
    </row>
    <row r="50">
      <c r="A50" s="8" t="n">
        <v>48</v>
      </c>
      <c r="B50" s="8" t="inlineStr">
        <is>
          <t>pvA2</t>
        </is>
      </c>
      <c r="C50" s="8" t="inlineStr">
        <is>
          <t>Looking at your chart, this is a season where quiet groundwork pays off most. Let me read it in detail.</t>
        </is>
      </c>
      <c r="D50" s="8" t="inlineStr">
        <is>
          <t>命式を見ると、この時期は「積み上げ」が一番実る形。目立つ成果より、土台づくりに向いています。詳しく読み解きますね。</t>
        </is>
      </c>
      <c r="E50" s="10" t="n"/>
      <c r="F50" s="10" t="n"/>
      <c r="G50" s="10" t="n"/>
    </row>
    <row r="51">
      <c r="A51" s="8" t="n">
        <v>49</v>
      </c>
      <c r="B51" s="8" t="inlineStr">
        <is>
          <t>secOverline1</t>
        </is>
      </c>
      <c r="C51" s="8" t="inlineStr">
        <is>
          <t>WHY POCKET KANTEI</t>
        </is>
      </c>
      <c r="D51" s="8" t="inlineStr">
        <is>
          <t>Pocket本格鑑定が選ばれる理由</t>
        </is>
      </c>
      <c r="E51" s="10" t="n"/>
      <c r="F51" s="10" t="n"/>
      <c r="G51" s="10" t="n"/>
    </row>
    <row r="52">
      <c r="A52" s="8" t="n">
        <v>50</v>
      </c>
      <c r="B52" s="8" t="inlineStr">
        <is>
          <t>revT</t>
        </is>
      </c>
      <c r="C52" s="8" t="inlineStr">
        <is>
          <t>Something that didn't exist before.</t>
        </is>
      </c>
      <c r="D52" s="8" t="inlineStr">
        <is>
          <t>これまでに、 なかったもの。</t>
        </is>
      </c>
      <c r="E52" s="10" t="n"/>
      <c r="F52" s="10" t="n"/>
      <c r="G52" s="10" t="n"/>
    </row>
    <row r="53">
      <c r="A53" s="8" t="n">
        <v>51</v>
      </c>
      <c r="B53" s="8" t="inlineStr">
        <is>
          <t>revB</t>
        </is>
      </c>
      <c r="C53" s="8" t="inlineStr">
        <is>
          <t>Every rule was built by a practicing Eastern-astrology reader — added by hand, verified again and again against real readings.</t>
        </is>
      </c>
      <c r="D53" s="8" t="inlineStr">
        <is>
          <t>鑑定ロジックは、現役の東洋占術鑑定師がひとつずつ手作業で組み込み、実際の鑑定と突き合わせる照合を重ねて作り上げました。</t>
        </is>
      </c>
      <c r="E53" s="10" t="n"/>
      <c r="F53" s="10" t="n"/>
      <c r="G53" s="10" t="n"/>
    </row>
    <row r="54">
      <c r="A54" s="8" t="n">
        <v>52</v>
      </c>
      <c r="B54" s="8" t="inlineStr">
        <is>
          <t>f1t</t>
        </is>
      </c>
      <c r="C54" s="8" t="inlineStr">
        <is>
          <t>Authentic logic by a working reader</t>
        </is>
      </c>
      <c r="D54" s="8" t="inlineStr">
        <is>
          <t>現役鑑定師が組んだ本格ロジック</t>
        </is>
      </c>
      <c r="E54" s="10" t="n"/>
      <c r="F54" s="10" t="n"/>
      <c r="G54" s="10" t="n"/>
    </row>
    <row r="55">
      <c r="A55" s="8" t="n">
        <v>53</v>
      </c>
      <c r="B55" s="8" t="inlineStr">
        <is>
          <t>f1d</t>
        </is>
      </c>
      <c r="C55" s="8" t="inlineStr">
        <is>
          <t>Hidden stems, twelve life stages, luck decades, annual fortunes, auspicious stars, void branches, trine and stem combinations.</t>
        </is>
      </c>
      <c r="D55" s="8" t="inlineStr">
        <is>
          <t>蔵干・十二運・大運・年運・吉凶星・空亡・三合や干合まで、プロの理論を完全搭載。</t>
        </is>
      </c>
      <c r="E55" s="10" t="n"/>
      <c r="F55" s="10" t="n"/>
      <c r="G55" s="10" t="n"/>
    </row>
    <row r="56">
      <c r="A56" s="8" t="n">
        <v>54</v>
      </c>
      <c r="B56" s="8" t="inlineStr">
        <is>
          <t>f2t</t>
        </is>
      </c>
      <c r="C56" s="8" t="inlineStr">
        <is>
          <t>Astronomical precision</t>
        </is>
      </c>
      <c r="D56" s="8" t="inlineStr">
        <is>
          <t>天文学レベルの精密計算</t>
        </is>
      </c>
      <c r="E56" s="10" t="n"/>
      <c r="F56" s="10" t="n"/>
      <c r="G56" s="10" t="n"/>
    </row>
    <row r="57">
      <c r="A57" s="8" t="n">
        <v>55</v>
      </c>
      <c r="B57" s="8" t="inlineStr">
        <is>
          <t>f2d</t>
        </is>
      </c>
      <c r="C57" s="8" t="inlineStr">
        <is>
          <t>True solar time corrected to the minute, from the longitude of your birthplace. Same birthday, different city — different chart.</t>
        </is>
      </c>
      <c r="D57" s="8" t="inlineStr">
        <is>
          <t>出生地の経度から「真太陽時」を分単位で補正。同じ生年月日でも、生まれた場所が違えば命式は変わります。</t>
        </is>
      </c>
      <c r="E57" s="10" t="n"/>
      <c r="F57" s="10" t="n"/>
      <c r="G57" s="10" t="n"/>
    </row>
    <row r="58">
      <c r="A58" s="8" t="n">
        <v>56</v>
      </c>
      <c r="B58" s="8" t="inlineStr">
        <is>
          <t>f3t</t>
        </is>
      </c>
      <c r="C58" s="8" t="inlineStr">
        <is>
          <t>Anywhere on Earth, 24/7</t>
        </is>
      </c>
      <c r="D58" s="8" t="inlineStr">
        <is>
          <t>世界中どこでも、24時間365日</t>
        </is>
      </c>
      <c r="E58" s="10" t="n"/>
      <c r="F58" s="10" t="n"/>
      <c r="G58" s="10" t="n"/>
    </row>
    <row r="59">
      <c r="A59" s="8" t="n">
        <v>57</v>
      </c>
      <c r="B59" s="8" t="inlineStr">
        <is>
          <t>f3d</t>
        </is>
      </c>
      <c r="C59" s="8" t="inlineStr">
        <is>
          <t>Late at night, abroad, across time zones — whenever you need it. For sleepless nights and crossroads on the road.</t>
        </is>
      </c>
      <c r="D59" s="8" t="inlineStr">
        <is>
          <t>深夜でも、海外にいても、時差を気にせずいつでも。眠れない夜の相談も、旅先での迷いも。</t>
        </is>
      </c>
      <c r="E59" s="10" t="n"/>
      <c r="F59" s="10" t="n"/>
      <c r="G59" s="10" t="n"/>
    </row>
    <row r="60">
      <c r="A60" s="8" t="n">
        <v>58</v>
      </c>
      <c r="B60" s="8" t="inlineStr">
        <is>
          <t>f4t</t>
        </is>
      </c>
      <c r="C60" s="8" t="inlineStr">
        <is>
          <t>4 languages + time zones, to the minute</t>
        </is>
      </c>
      <c r="D60" s="8" t="inlineStr">
        <is>
          <t>4言語＋時差まで、分単位で</t>
        </is>
      </c>
      <c r="E60" s="10" t="n"/>
      <c r="F60" s="10" t="n"/>
      <c r="G60" s="10" t="n"/>
    </row>
    <row r="61">
      <c r="A61" s="8" t="n">
        <v>59</v>
      </c>
      <c r="B61" s="8" t="inlineStr">
        <is>
          <t>f4d</t>
        </is>
      </c>
      <c r="C61" s="8" t="inlineStr">
        <is>
          <t>More than your mother tongue: from the longitude of your birthplace we correct the time to the minute — a precision you won’t find elsewhere. Wherever in the world you were born, the reading is accurate.</t>
        </is>
      </c>
      <c r="D61" s="8" t="inlineStr">
        <is>
          <t>母語で届くだけじゃありません。生まれた国と土地の経度から時差を分単位で補正して命式を出す——この精密さは、ほかにありません。世界中どこで生まれても正確に鑑定します。</t>
        </is>
      </c>
      <c r="E61" s="10" t="n"/>
      <c r="F61" s="10" t="n"/>
      <c r="G61" s="10" t="n"/>
    </row>
    <row r="62">
      <c r="A62" s="8" t="n">
        <v>60</v>
      </c>
      <c r="B62" s="8" t="inlineStr">
        <is>
          <t>f5t</t>
        </is>
      </c>
      <c r="C62" s="8" t="inlineStr">
        <is>
          <t>Someone you grow closer to, the more you talk</t>
        </is>
      </c>
      <c r="D62" s="8" t="inlineStr">
        <is>
          <t>話すほどに、距離が縮まる存在</t>
        </is>
      </c>
      <c r="E62" s="10" t="n"/>
      <c r="F62" s="10" t="n"/>
      <c r="G62" s="10" t="n"/>
    </row>
    <row r="63">
      <c r="A63" s="8" t="n">
        <v>61</v>
      </c>
      <c r="B63" s="8" t="inlineStr">
        <is>
          <t>f5d</t>
        </is>
      </c>
      <c r="C63" s="8" t="inlineStr">
        <is>
          <t>Polite at first, warmer as you open up. With every conversation Nico understands you more and remembers your past talks and the readings that came true. The more you chat, the closer you grow — until Nico becomes someone you can truly confide in.</t>
        </is>
      </c>
      <c r="D63" s="8" t="inlineStr">
        <is>
          <t>はじめは少していねいに、打ち解けるほど親しく。会話を重ねるごとにあなたを理解し、あの日の相談も、当たった鑑定も覚えています。話すほどに距離が縮まり、少しずつ心を開ける相手になっていきます。</t>
        </is>
      </c>
      <c r="E63" s="10" t="n"/>
      <c r="F63" s="10" t="n"/>
      <c r="G63" s="10" t="n"/>
    </row>
    <row r="64">
      <c r="A64" s="8" t="n">
        <v>62</v>
      </c>
      <c r="B64" s="8" t="inlineStr">
        <is>
          <t>f6t</t>
        </is>
      </c>
      <c r="C64" s="8" t="inlineStr">
        <is>
          <t>Compatibility, right in the chat</t>
        </is>
      </c>
      <c r="D64" s="8" t="inlineStr">
        <is>
          <t>相性鑑定も、会話の中で</t>
        </is>
      </c>
      <c r="E64" s="10" t="n"/>
      <c r="F64" s="10" t="n"/>
      <c r="G64" s="10" t="n"/>
    </row>
    <row r="65">
      <c r="A65" s="8" t="n">
        <v>63</v>
      </c>
      <c r="B65" s="8" t="inlineStr">
        <is>
          <t>f6d</t>
        </is>
      </c>
      <c r="C65" s="8" t="inlineStr">
        <is>
          <t>Just say "he was born March 1, 1990" — a full two-chart compatibility reading starts on the spot.</t>
        </is>
      </c>
      <c r="D65" s="8" t="inlineStr">
        <is>
          <t>「彼は1990年3月1日生まれ」と伝えるだけで、ふたりの命式を突き合わせた本格相性鑑定が始まります。</t>
        </is>
      </c>
      <c r="E65" s="10" t="n"/>
      <c r="F65" s="10" t="n"/>
      <c r="G65" s="10" t="n"/>
    </row>
    <row r="66">
      <c r="A66" s="8" t="n">
        <v>64</v>
      </c>
      <c r="B66" s="8" t="inlineStr">
        <is>
          <t>roadOverline</t>
        </is>
      </c>
      <c r="C66" s="8" t="inlineStr">
        <is>
          <t>More to come</t>
        </is>
      </c>
      <c r="D66" s="8" t="inlineStr">
        <is>
          <t>これから、もっと。</t>
        </is>
      </c>
      <c r="E66" s="10" t="n"/>
      <c r="F66" s="10" t="n"/>
      <c r="G66" s="10" t="n"/>
    </row>
    <row r="67">
      <c r="A67" s="8" t="n">
        <v>65</v>
      </c>
      <c r="B67" s="8" t="inlineStr">
        <is>
          <t>roadT</t>
        </is>
      </c>
      <c r="C67" s="8" t="inlineStr">
        <is>
          <t>Your world of readings keeps growing.</t>
        </is>
      </c>
      <c r="D67" s="8" t="inlineStr">
        <is>
          <t>占える世界が、 これから広がります。</t>
        </is>
      </c>
      <c r="E67" s="10" t="n"/>
      <c r="F67" s="10" t="n"/>
      <c r="G67" s="10" t="n"/>
    </row>
    <row r="68">
      <c r="A68" s="8" t="n">
        <v>66</v>
      </c>
      <c r="B68" s="8" t="inlineStr">
        <is>
          <t>roadLead</t>
        </is>
      </c>
      <c r="C68" s="8" t="inlineStr">
        <is>
          <t>It starts with authentic Four Pillars. Through updates, more arts will be added little by little.</t>
        </is>
      </c>
      <c r="D68" s="8" t="inlineStr">
        <is>
          <t>いまは本格四柱推命から。アップデートで、占える占術を少しずつ増やしていきます。</t>
        </is>
      </c>
      <c r="E68" s="10" t="n"/>
      <c r="F68" s="10" t="n"/>
      <c r="G68" s="10" t="n"/>
    </row>
    <row r="69">
      <c r="A69" s="8" t="n">
        <v>67</v>
      </c>
      <c r="B69" s="8" t="inlineStr">
        <is>
          <t>road1n</t>
        </is>
      </c>
      <c r="C69" s="8" t="inlineStr">
        <is>
          <t>I Ching</t>
        </is>
      </c>
      <c r="D69" s="8" t="inlineStr">
        <is>
          <t>易経（易占い）</t>
        </is>
      </c>
      <c r="E69" s="10" t="n"/>
      <c r="F69" s="10" t="n"/>
      <c r="G69" s="10" t="n"/>
    </row>
    <row r="70">
      <c r="A70" s="8" t="n">
        <v>68</v>
      </c>
      <c r="B70" s="8" t="inlineStr">
        <is>
          <t>road2n</t>
        </is>
      </c>
      <c r="C70" s="8" t="inlineStr">
        <is>
          <t>Nine Star Astrology</t>
        </is>
      </c>
      <c r="D70" s="8" t="inlineStr">
        <is>
          <t>九星術</t>
        </is>
      </c>
      <c r="E70" s="10" t="n"/>
      <c r="F70" s="10" t="n"/>
      <c r="G70" s="10" t="n"/>
    </row>
    <row r="71">
      <c r="A71" s="8" t="n">
        <v>69</v>
      </c>
      <c r="B71" s="8" t="inlineStr">
        <is>
          <t>road1d</t>
        </is>
      </c>
      <c r="C71" s="8" t="inlineStr">
        <is>
          <t>A 3,000-year-old Eastern wisdom that reads the current flow and your next move from the changes of yin and yang — a compass when you feel lost.</t>
        </is>
      </c>
      <c r="D71" s="8" t="inlineStr">
        <is>
          <t>陰陽の「変化」から、いまの流れと「次の一手」を読み解く、三千年つづく東洋の知恵。迷ったときの道しるべになります。</t>
        </is>
      </c>
      <c r="E71" s="10" t="n"/>
      <c r="F71" s="10" t="n"/>
      <c r="G71" s="10" t="n"/>
    </row>
    <row r="72">
      <c r="A72" s="8" t="n">
        <v>70</v>
      </c>
      <c r="B72" s="8" t="inlineStr">
        <is>
          <t>road2d</t>
        </is>
      </c>
      <c r="C72" s="8" t="inlineStr">
        <is>
          <t>A study of DIRECTIONS: from your birth-year star, it reads lucky directions and good timing to move — for relocation, travel and big decisions.</t>
        </is>
      </c>
      <c r="D72" s="8" t="inlineStr">
        <is>
          <t>生まれ年の星をもとに、吉方位や動くのに良いタイミングを見る「方位の学問」。引っ越し・旅行・勝負ごとの後押しに。</t>
        </is>
      </c>
      <c r="E72" s="10" t="n"/>
      <c r="F72" s="10" t="n"/>
      <c r="G72" s="10" t="n"/>
    </row>
    <row r="73">
      <c r="A73" s="8" t="n">
        <v>71</v>
      </c>
      <c r="B73" s="8" t="inlineStr">
        <is>
          <t>roadTag</t>
        </is>
      </c>
      <c r="C73" s="8" t="inlineStr">
        <is>
          <t>Coming soon</t>
        </is>
      </c>
      <c r="D73" s="8" t="inlineStr">
        <is>
          <t>準備中</t>
        </is>
      </c>
      <c r="E73" s="10" t="n"/>
      <c r="F73" s="10" t="n"/>
      <c r="G73" s="10" t="n"/>
    </row>
    <row r="74">
      <c r="A74" s="8" t="n">
        <v>72</v>
      </c>
      <c r="B74" s="8" t="inlineStr">
        <is>
          <t>roadFoot</t>
        </is>
      </c>
      <c r="C74" s="8" t="inlineStr">
        <is>
          <t>These will arrive in future updates. For now, Four Pillars reads you in depth.</t>
        </is>
      </c>
      <c r="D74" s="8" t="inlineStr">
        <is>
          <t>※これらはアップデートで順次追加していきます。まずは本格四柱推命で、あなたを深く読み解きます。</t>
        </is>
      </c>
      <c r="E74" s="10" t="n"/>
      <c r="F74" s="10" t="n"/>
      <c r="G74" s="10" t="n"/>
    </row>
    <row r="75">
      <c r="A75" s="8" t="n">
        <v>73</v>
      </c>
      <c r="B75" s="8" t="inlineStr">
        <is>
          <t>secOverline2</t>
        </is>
      </c>
      <c r="C75" s="8" t="inlineStr">
        <is>
          <t>HOW MUCH</t>
        </is>
      </c>
      <c r="D75" s="8" t="inlineStr">
        <is>
          <t>料金の目安</t>
        </is>
      </c>
      <c r="E75" s="10" t="n"/>
      <c r="F75" s="10" t="n"/>
      <c r="G75" s="10" t="n"/>
    </row>
    <row r="76">
      <c r="A76" s="8" t="n">
        <v>74</v>
      </c>
      <c r="B76" s="8" t="inlineStr">
        <is>
          <t>cmpT</t>
        </is>
      </c>
      <c r="C76" s="8" t="inlineStr">
        <is>
          <t>Cheaper than a single in-person reading.</t>
        </is>
      </c>
      <c r="D76" s="8" t="inlineStr">
        <is>
          <t>対面鑑定1回分より、 毎日でも、ずっと安い。</t>
        </is>
      </c>
      <c r="E76" s="10" t="n"/>
      <c r="F76" s="10" t="n"/>
      <c r="G76" s="10" t="n"/>
    </row>
    <row r="77">
      <c r="A77" s="8" t="n">
        <v>75</v>
      </c>
      <c r="B77" s="8" t="inlineStr">
        <is>
          <t>cmpOldN</t>
        </is>
      </c>
      <c r="C77" s="8" t="inlineStr">
        <is>
          <t>In-person reading</t>
        </is>
      </c>
      <c r="D77" s="8" t="inlineStr">
        <is>
          <t>一般的な対面鑑定</t>
        </is>
      </c>
      <c r="E77" s="10" t="n"/>
      <c r="F77" s="10" t="n"/>
      <c r="G77" s="10" t="n"/>
    </row>
    <row r="78">
      <c r="A78" s="8" t="n">
        <v>76</v>
      </c>
      <c r="B78" s="8" t="inlineStr">
        <is>
          <t>cmpOldP</t>
        </is>
      </c>
      <c r="C78" s="8" t="inlineStr">
        <is>
          <t>~$70</t>
        </is>
      </c>
      <c r="D78" s="8" t="inlineStr">
        <is>
          <t>約 ¥10,000</t>
        </is>
      </c>
      <c r="E78" s="10" t="n"/>
      <c r="F78" s="10" t="n"/>
      <c r="G78" s="10" t="n"/>
    </row>
    <row r="79">
      <c r="A79" s="8" t="n">
        <v>77</v>
      </c>
      <c r="B79" s="8" t="inlineStr">
        <is>
          <t>cmpOldD</t>
        </is>
      </c>
      <c r="C79" s="8" t="inlineStr">
        <is>
          <t>One session, by appointment</t>
        </is>
      </c>
      <c r="D79" s="8" t="inlineStr">
        <is>
          <t>1回・要予約</t>
        </is>
      </c>
      <c r="E79" s="10" t="n"/>
      <c r="F79" s="10" t="n"/>
      <c r="G79" s="10" t="n"/>
    </row>
    <row r="80">
      <c r="A80" s="8" t="n">
        <v>78</v>
      </c>
      <c r="B80" s="8" t="inlineStr">
        <is>
          <t>cmpNewN</t>
        </is>
      </c>
      <c r="C80" s="8" t="inlineStr">
        <is>
          <t>Pocket Kantei Standard</t>
        </is>
      </c>
      <c r="D80" s="8" t="inlineStr">
        <is>
          <t>Pocket本格鑑定 Standard</t>
        </is>
      </c>
      <c r="E80" s="10" t="n"/>
      <c r="F80" s="10" t="n"/>
      <c r="G80" s="10" t="n"/>
    </row>
    <row r="81">
      <c r="A81" s="8" t="n">
        <v>79</v>
      </c>
      <c r="B81" s="8" t="inlineStr">
        <is>
          <t>cmpNewP</t>
        </is>
      </c>
      <c r="C81" s="8" t="inlineStr">
        <is>
          <t>$19.99</t>
        </is>
      </c>
      <c r="D81" s="8" t="inlineStr">
        <is>
          <t>¥2,900</t>
        </is>
      </c>
      <c r="E81" s="10" t="n"/>
      <c r="F81" s="10" t="n"/>
      <c r="G81" s="10" t="n"/>
    </row>
    <row r="82">
      <c r="A82" s="8" t="n">
        <v>80</v>
      </c>
      <c r="B82" s="8" t="inlineStr">
        <is>
          <t>cmpNewD</t>
        </is>
      </c>
      <c r="C82" s="8" t="inlineStr">
        <is>
          <t>One month · 50 in-depth readings</t>
        </is>
      </c>
      <c r="D82" s="8" t="inlineStr">
        <is>
          <t>1か月・本格鑑定50回</t>
        </is>
      </c>
      <c r="E82" s="10" t="n"/>
      <c r="F82" s="10" t="n"/>
      <c r="G82" s="10" t="n"/>
    </row>
    <row r="83">
      <c r="A83" s="8" t="n">
        <v>81</v>
      </c>
      <c r="B83" s="8" t="inlineStr">
        <is>
          <t>cmpNote</t>
        </is>
      </c>
      <c r="C83" s="8" t="inlineStr">
        <is>
          <t>In-person price is a typical market example; varies by reader and region.</t>
        </is>
      </c>
      <c r="D83" s="8" t="inlineStr">
        <is>
          <t>※対面鑑定の価格は一般的な相場の一例です。店舗・鑑定師により異なります。</t>
        </is>
      </c>
      <c r="E83" s="10" t="n"/>
      <c r="F83" s="10" t="n"/>
      <c r="G83" s="10" t="n"/>
    </row>
    <row r="84">
      <c r="A84" s="8" t="n">
        <v>82</v>
      </c>
      <c r="B84" s="8" t="inlineStr">
        <is>
          <t>secOverline4</t>
        </is>
      </c>
      <c r="C84" s="8" t="inlineStr">
        <is>
          <t>PLANS</t>
        </is>
      </c>
      <c r="D84" s="8" t="inlineStr">
        <is>
          <t>あなたに合うプラン</t>
        </is>
      </c>
      <c r="E84" s="10" t="n"/>
      <c r="F84" s="10" t="n"/>
      <c r="G84" s="10" t="n"/>
    </row>
    <row r="85">
      <c r="A85" s="8" t="n">
        <v>83</v>
      </c>
      <c r="B85" s="8" t="inlineStr">
        <is>
          <t>plansTitle</t>
        </is>
      </c>
      <c r="C85" s="8" t="inlineStr">
        <is>
          <t>Plans</t>
        </is>
      </c>
      <c r="D85" s="8" t="inlineStr">
        <is>
          <t>料金プラン</t>
        </is>
      </c>
      <c r="E85" s="10" t="n"/>
      <c r="F85" s="10" t="n"/>
      <c r="G85" s="10" t="n"/>
    </row>
    <row r="86">
      <c r="A86" s="8" t="n">
        <v>84</v>
      </c>
      <c r="B86" s="8" t="inlineStr">
        <is>
          <t>plan1n</t>
        </is>
      </c>
      <c r="C86" s="8" t="inlineStr">
        <is>
          <t>Standard</t>
        </is>
      </c>
      <c r="D86" s="8" t="inlineStr">
        <is>
          <t>Standard</t>
        </is>
      </c>
      <c r="E86" s="10" t="n"/>
      <c r="F86" s="10" t="n"/>
      <c r="G86" s="10" t="n"/>
    </row>
    <row r="87">
      <c r="A87" s="8" t="n">
        <v>85</v>
      </c>
      <c r="B87" s="8" t="inlineStr">
        <is>
          <t>plan1p</t>
        </is>
      </c>
      <c r="C87" s="8" t="inlineStr">
        <is>
          <t>¥2,900 (≈$19.99) / month · ¥31,900 / year</t>
        </is>
      </c>
      <c r="D87" s="8" t="inlineStr">
        <is>
          <t>¥2,900 / 月（税込）・年額 ¥31,900</t>
        </is>
      </c>
      <c r="E87" s="10" t="n"/>
      <c r="F87" s="10" t="n"/>
      <c r="G87" s="10" t="n"/>
    </row>
    <row r="88">
      <c r="A88" s="8" t="n">
        <v>86</v>
      </c>
      <c r="B88" s="8" t="inlineStr">
        <is>
          <t>plan1d</t>
        </is>
      </c>
      <c r="C88" s="8" t="inlineStr">
        <is>
          <t>Up to 50 in-depth readings a month. A great place to start.</t>
        </is>
      </c>
      <c r="D88" s="8" t="inlineStr">
        <is>
          <t>本格鑑定は月50回まで。まずはここから。</t>
        </is>
      </c>
      <c r="E88" s="10" t="n"/>
      <c r="F88" s="10" t="n"/>
      <c r="G88" s="10" t="n"/>
    </row>
    <row r="89">
      <c r="A89" s="8" t="n">
        <v>87</v>
      </c>
      <c r="B89" s="8" t="inlineStr">
        <is>
          <t>plan15badge</t>
        </is>
      </c>
      <c r="C89" s="8" t="inlineStr">
        <is>
          <t>Most popular</t>
        </is>
      </c>
      <c r="D89" s="8" t="inlineStr">
        <is>
          <t>いちばん人気</t>
        </is>
      </c>
      <c r="E89" s="10" t="n"/>
      <c r="F89" s="10" t="n"/>
      <c r="G89" s="10" t="n"/>
    </row>
    <row r="90">
      <c r="A90" s="8" t="n">
        <v>88</v>
      </c>
      <c r="B90" s="8" t="inlineStr">
        <is>
          <t>plan15n</t>
        </is>
      </c>
      <c r="C90" s="8" t="inlineStr">
        <is>
          <t>Pro</t>
        </is>
      </c>
      <c r="D90" s="8" t="inlineStr">
        <is>
          <t>Pro</t>
        </is>
      </c>
      <c r="E90" s="10" t="n"/>
      <c r="F90" s="10" t="n"/>
      <c r="G90" s="10" t="n"/>
    </row>
    <row r="91">
      <c r="A91" s="8" t="n">
        <v>89</v>
      </c>
      <c r="B91" s="8" t="inlineStr">
        <is>
          <t>plan15p</t>
        </is>
      </c>
      <c r="C91" s="8" t="inlineStr">
        <is>
          <t>¥5,900 (≈$39.99) / month · ¥64,900 / year</t>
        </is>
      </c>
      <c r="D91" s="8" t="inlineStr">
        <is>
          <t>¥5,900 / 月（税込）・年額 ¥64,900</t>
        </is>
      </c>
      <c r="E91" s="10" t="n"/>
      <c r="F91" s="10" t="n"/>
      <c r="G91" s="10" t="n"/>
    </row>
    <row r="92">
      <c r="A92" s="8" t="n">
        <v>90</v>
      </c>
      <c r="B92" s="8" t="inlineStr">
        <is>
          <t>plan15d</t>
        </is>
      </c>
      <c r="C92" s="8" t="inlineStr">
        <is>
          <t>Up to 100 in-depth readings a month. For people who want to consult every day.</t>
        </is>
      </c>
      <c r="D92" s="8" t="inlineStr">
        <is>
          <t>本格鑑定は月100回まで。毎日しっかり相談したい人に。</t>
        </is>
      </c>
      <c r="E92" s="10" t="n"/>
      <c r="F92" s="10" t="n"/>
      <c r="G92" s="10" t="n"/>
    </row>
    <row r="93">
      <c r="A93" s="8" t="n">
        <v>91</v>
      </c>
      <c r="B93" s="8" t="inlineStr">
        <is>
          <t>plan2badge</t>
        </is>
      </c>
      <c r="C93" s="8" t="inlineStr">
        <is>
          <t>For frequent consultations</t>
        </is>
      </c>
      <c r="D93" s="8" t="inlineStr">
        <is>
          <t>たっぷり相談する人に</t>
        </is>
      </c>
      <c r="E93" s="10" t="n"/>
      <c r="F93" s="10" t="n"/>
      <c r="G93" s="10" t="n"/>
    </row>
    <row r="94">
      <c r="A94" s="8" t="n">
        <v>92</v>
      </c>
      <c r="B94" s="8" t="inlineStr">
        <is>
          <t>plan2n</t>
        </is>
      </c>
      <c r="C94" s="8" t="inlineStr">
        <is>
          <t>VIP</t>
        </is>
      </c>
      <c r="D94" s="8" t="inlineStr">
        <is>
          <t>VIP</t>
        </is>
      </c>
      <c r="E94" s="10" t="n"/>
      <c r="F94" s="10" t="n"/>
      <c r="G94" s="10" t="n"/>
    </row>
    <row r="95">
      <c r="A95" s="8" t="n">
        <v>93</v>
      </c>
      <c r="B95" s="8" t="inlineStr">
        <is>
          <t>plan2p</t>
        </is>
      </c>
      <c r="C95" s="8" t="inlineStr">
        <is>
          <t>¥9,800 (≈$69.99) / month · ¥107,800 / year</t>
        </is>
      </c>
      <c r="D95" s="8" t="inlineStr">
        <is>
          <t>¥9,800 / 月（税込）・年額 ¥107,800</t>
        </is>
      </c>
      <c r="E95" s="10" t="n"/>
      <c r="F95" s="10" t="n"/>
      <c r="G95" s="10" t="n"/>
    </row>
    <row r="96">
      <c r="A96" s="8" t="n">
        <v>94</v>
      </c>
      <c r="B96" s="8" t="inlineStr">
        <is>
          <t>plan2d</t>
        </is>
      </c>
      <c r="C96" s="8" t="inlineStr">
        <is>
          <t>Up to 175 in-depth readings a month — the most generous plan.</t>
        </is>
      </c>
      <c r="D96" s="8" t="inlineStr">
        <is>
          <t>本格鑑定は月175回まで。いちばんたっぷり。</t>
        </is>
      </c>
      <c r="E96" s="10" t="n"/>
      <c r="F96" s="10" t="n"/>
      <c r="G96" s="10" t="n"/>
    </row>
    <row r="97">
      <c r="A97" s="8" t="n">
        <v>95</v>
      </c>
      <c r="B97" s="8" t="inlineStr">
        <is>
          <t>planSub</t>
        </is>
      </c>
      <c r="C97" s="8" t="inlineStr">
        <is>
          <t>Cheaper than one in-person reading — consult every day.</t>
        </is>
      </c>
      <c r="D97" s="8" t="inlineStr">
        <is>
          <t>対面の鑑定1回より安く、毎日でも相談できます。</t>
        </is>
      </c>
      <c r="E97" s="10" t="n"/>
      <c r="F97" s="10" t="n"/>
      <c r="G97" s="10" t="n"/>
    </row>
    <row r="98">
      <c r="A98" s="8" t="n">
        <v>96</v>
      </c>
      <c r="B98" s="8" t="inlineStr">
        <is>
          <t>planFine</t>
        </is>
      </c>
      <c r="C98" s="8" t="inlineStr">
        <is>
          <t>* If chatting passes the daily guideline, you can pick it up again tomorrow. In-depth readings stay available.</t>
        </is>
      </c>
      <c r="D98" s="8" t="inlineStr">
        <is>
          <t>※雑談が1日の目安を超えた時は、翌日にまたお話しできます。本格鑑定はそのまま使えます。</t>
        </is>
      </c>
      <c r="E98" s="10" t="n"/>
      <c r="F98" s="10" t="n"/>
      <c r="G98" s="10" t="n"/>
    </row>
    <row r="99">
      <c r="A99" s="8" t="n">
        <v>97</v>
      </c>
      <c r="B99" s="8" t="inlineStr">
        <is>
          <t>planDef</t>
        </is>
      </c>
      <c r="C99" s="8" t="inlineStr">
        <is>
          <t>An in-depth reading is a consultation read carefully from your chart — love, marriage, deep worries, big decisions and the like. Quick greetings and small talk don’t count.</t>
        </is>
      </c>
      <c r="D99" s="8" t="inlineStr">
        <is>
          <t>本格鑑定とは、恋愛・結婚・深い悩み・大事な決断など、命式からじっくり読み解く鑑定のことです。ちょっとしたあいさつや雑談は数えません。</t>
        </is>
      </c>
      <c r="E99" s="10" t="n"/>
      <c r="F99" s="10" t="n"/>
      <c r="G99" s="10" t="n"/>
    </row>
    <row r="100">
      <c r="A100" s="8" t="n">
        <v>98</v>
      </c>
      <c r="B100" s="8" t="inlineStr">
        <is>
          <t>assureT</t>
        </is>
      </c>
      <c r="C100" s="8" t="inlineStr">
        <is>
          <t>Your data is stored safely in your account.</t>
        </is>
      </c>
      <c r="D100" s="8" t="inlineStr">
        <is>
          <t>入力した情報は、あなたのアカウントに安全に保存されます。</t>
        </is>
      </c>
      <c r="E100" s="10" t="n"/>
      <c r="F100" s="10" t="n"/>
      <c r="G100" s="10" t="n"/>
    </row>
    <row r="101">
      <c r="A101" s="8" t="n">
        <v>99</v>
      </c>
      <c r="B101" s="8" t="inlineStr">
        <is>
          <t>assureD</t>
        </is>
      </c>
      <c r="C101" s="8" t="inlineStr">
        <is>
          <t>Passwords are never stored as-is, and every connection is encrypted. Switch phones and simply sign in to pick up where you left off.</t>
        </is>
      </c>
      <c r="D101" s="8" t="inlineStr">
        <is>
          <t>パスワードはそのまま保存せず、通信はすべて暗号化されます。機種変更しても、ログインすれば続きから使えます。</t>
        </is>
      </c>
      <c r="E101" s="10" t="n"/>
      <c r="F101" s="10" t="n"/>
      <c r="G101" s="10" t="n"/>
    </row>
    <row r="102">
      <c r="A102" s="8" t="n">
        <v>100</v>
      </c>
      <c r="B102" s="8" t="inlineStr">
        <is>
          <t>scopeT</t>
        </is>
      </c>
      <c r="C102" s="8" t="inlineStr">
        <is>
          <t>Nico is your personal fortune teller</t>
        </is>
      </c>
      <c r="D102" s="8" t="inlineStr">
        <is>
          <t>Nicoは、あなた専属の「鑑定師」です</t>
        </is>
      </c>
      <c r="E102" s="10" t="n"/>
      <c r="F102" s="10" t="n"/>
      <c r="G102" s="10" t="n"/>
    </row>
    <row r="103">
      <c r="A103" s="8" t="n">
        <v>101</v>
      </c>
      <c r="B103" s="8" t="inlineStr">
        <is>
          <t>scopeD</t>
        </is>
      </c>
      <c r="C103" s="8" t="inlineStr">
        <is>
          <t>She reads your fortune, your timing, yourself and the people connected to you. Can't put it into words? That's fine — Nico draws your feelings out and sorts them with you. As a fortune teller, she can't help with research, homework, translation, or medical / legal / investment decisions.</t>
        </is>
      </c>
      <c r="D103" s="8" t="inlineStr">
        <is>
          <t>占い・運気・あなたご自身やご縁のあるお相手についてのご相談にお応えします。うまく言葉にできなくても大丈夫——Nicoが気持ちを汲み取り、言葉を引き出しながら一緒に整理します。なお鑑定師のため、調べもの・宿題・翻訳や、医療・法律・投資などの専門判断にはお応えできません。</t>
        </is>
      </c>
      <c r="E103" s="10" t="n"/>
      <c r="F103" s="10" t="n"/>
      <c r="G103" s="10" t="n"/>
    </row>
    <row r="104">
      <c r="A104" s="8" t="n">
        <v>102</v>
      </c>
      <c r="B104" s="8" t="inlineStr">
        <is>
          <t>cta</t>
        </is>
      </c>
      <c r="C104" s="8" t="inlineStr">
        <is>
          <t>Get my reading — free</t>
        </is>
      </c>
      <c r="D104" s="8" t="inlineStr">
        <is>
          <t>無料で今すぐ鑑定する</t>
        </is>
      </c>
      <c r="E104" s="10" t="n"/>
      <c r="F104" s="10" t="n"/>
      <c r="G104" s="10" t="n"/>
    </row>
    <row r="105">
      <c r="A105" s="8" t="n">
        <v>103</v>
      </c>
      <c r="B105" s="8" t="inlineStr">
        <is>
          <t>hookT</t>
        </is>
      </c>
      <c r="C105" s="8" t="inlineStr">
        <is>
          <t>When you're unsure, open your own user manual .</t>
        </is>
      </c>
      <c r="D105" s="8" t="inlineStr">
        <is>
          <t>迷ったときこそ、 自分の“トリセツ” を開いてみて。</t>
        </is>
      </c>
      <c r="E105" s="10" t="n"/>
      <c r="F105" s="10" t="n"/>
      <c r="G105" s="10" t="n"/>
    </row>
    <row r="106">
      <c r="A106" s="8" t="n">
        <v>104</v>
      </c>
      <c r="B106" s="8" t="inlineStr">
        <is>
          <t>hookP</t>
        </is>
      </c>
      <c r="C106" s="8" t="inlineStr">
        <is>
          <t>Just your birth date. Free for 3 days — Nico reads it with you.</t>
        </is>
      </c>
      <c r="D106" s="8" t="inlineStr">
        <is>
          <t>生年月日だけ。3日間は無料で、Nicoがそばで読み解きます。</t>
        </is>
      </c>
      <c r="E106" s="10" t="n"/>
      <c r="F106" s="10" t="n"/>
      <c r="G106" s="10" t="n"/>
    </row>
    <row r="107">
      <c r="A107" s="8" t="n">
        <v>105</v>
      </c>
      <c r="B107" s="8" t="inlineStr">
        <is>
          <t>ctaBadges</t>
        </is>
      </c>
      <c r="C107" s="8" t="inlineStr">
        <is>
          <t>3 days free No credit card Start now</t>
        </is>
      </c>
      <c r="D107" s="8" t="inlineStr">
        <is>
          <t>3日間無料 クレカ登録なし 今すぐ開始</t>
        </is>
      </c>
      <c r="E107" s="10" t="n"/>
      <c r="F107" s="10" t="n"/>
      <c r="G107" s="10" t="n"/>
    </row>
    <row r="108">
      <c r="A108" s="8" t="n">
        <v>106</v>
      </c>
      <c r="B108" s="8" t="inlineStr">
        <is>
          <t>ctaNote</t>
        </is>
      </c>
      <c r="C108" s="8" t="inlineStr">
        <is>
          <t>No credit card needed. So you can start free, right now — just your birth date. You can change your details (birth date &amp; nickname) anytime.</t>
        </is>
      </c>
      <c r="D108" s="8" t="inlineStr">
        <is>
          <t>クレジットカード登録は不要。 だからこのまま、いますぐ無料で始められます。生年月日だけでOK。 登録内容（生年月日・ニックネーム）は、あとからいつでも変更できます。</t>
        </is>
      </c>
      <c r="E108" s="10" t="n"/>
      <c r="F108" s="10" t="n"/>
      <c r="G108" s="10" t="n"/>
    </row>
    <row r="109">
      <c r="A109" s="8" t="n">
        <v>107</v>
      </c>
      <c r="B109" s="8" t="inlineStr">
        <is>
          <t>credit</t>
        </is>
      </c>
      <c r="C109" s="8" t="inlineStr">
        <is>
          <t>PRODUCED BY NICO · Eastern-astrology reader</t>
        </is>
      </c>
      <c r="D109" s="8" t="inlineStr">
        <is>
          <t>PRODUCED BY NICO · 東洋占術鑑定師</t>
        </is>
      </c>
      <c r="E109" s="10" t="n"/>
      <c r="F109" s="10" t="n"/>
      <c r="G109" s="10" t="n"/>
    </row>
    <row r="110">
      <c r="A110" s="8" t="n">
        <v>108</v>
      </c>
      <c r="B110" s="8" t="inlineStr">
        <is>
          <t>foot</t>
        </is>
      </c>
      <c r="C110" s="8" t="inlineStr">
        <is>
          <t>Operated by 72K Inc. A reading service based on Four Pillars calculation logic, for entertainment and self-understanding.</t>
        </is>
      </c>
      <c r="D110" s="8" t="inlineStr">
        <is>
          <t>運営：72K株式会社。四柱推命の計算ロジックにもとづく鑑定サービスです。娯楽・自己理解を目的としています。</t>
        </is>
      </c>
      <c r="E110" s="10" t="n"/>
      <c r="F110" s="10" t="n"/>
      <c r="G110" s="10" t="n"/>
    </row>
    <row r="111">
      <c r="A111" s="8" t="n">
        <v>109</v>
      </c>
      <c r="B111" s="8" t="inlineStr">
        <is>
          <t>lTerms</t>
        </is>
      </c>
      <c r="C111" s="8" t="inlineStr">
        <is>
          <t>Terms</t>
        </is>
      </c>
      <c r="D111" s="8" t="inlineStr">
        <is>
          <t>利用規約</t>
        </is>
      </c>
      <c r="E111" s="10" t="n"/>
      <c r="F111" s="10" t="n"/>
      <c r="G111" s="10" t="n"/>
    </row>
    <row r="112">
      <c r="A112" s="8" t="n">
        <v>110</v>
      </c>
      <c r="B112" s="8" t="inlineStr">
        <is>
          <t>lPriv</t>
        </is>
      </c>
      <c r="C112" s="8" t="inlineStr">
        <is>
          <t>Privacy</t>
        </is>
      </c>
      <c r="D112" s="8" t="inlineStr">
        <is>
          <t>プライバシーポリシー</t>
        </is>
      </c>
      <c r="E112" s="10" t="n"/>
      <c r="F112" s="10" t="n"/>
      <c r="G112" s="10" t="n"/>
    </row>
    <row r="113">
      <c r="A113" s="8" t="n">
        <v>111</v>
      </c>
      <c r="B113" s="8" t="inlineStr">
        <is>
          <t>login</t>
        </is>
      </c>
      <c r="C113" s="8" t="inlineStr">
        <is>
          <t>Already registered or new phone? Sign in</t>
        </is>
      </c>
      <c r="D113" s="8" t="inlineStr">
        <is>
          <t>登録済みの方・機種変更の方はログイン</t>
        </is>
      </c>
      <c r="E113" s="10" t="n"/>
      <c r="F113" s="10" t="n"/>
      <c r="G113" s="10" t="n"/>
    </row>
  </sheetData>
  <dataValidations count="1">
    <dataValidation sqref="E3:E113" showDropDown="0" showInputMessage="0" showErrorMessage="0" allowBlank="1" type="list">
      <formula1>"Y,N"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6" customWidth="1" min="1" max="1"/>
    <col width="16" customWidth="1" min="2" max="2"/>
  </cols>
  <sheetData>
    <row r="1">
      <c r="A1" s="11" t="inlineStr">
        <is>
          <t>集計（運営用・自動計算）</t>
        </is>
      </c>
    </row>
    <row r="2">
      <c r="A2" s="12" t="inlineStr">
        <is>
          <t>会話：Nico の返事の数</t>
        </is>
      </c>
      <c r="B2" s="13">
        <f>COUNTIF('Conversations'!D3:D69,"Nico")</f>
        <v/>
      </c>
    </row>
    <row r="3">
      <c r="A3" s="12" t="inlineStr">
        <is>
          <t>会話：自然さが記入された数</t>
        </is>
      </c>
      <c r="B3" s="13">
        <f>COUNT('Conversations'!G3:G69)</f>
        <v/>
      </c>
    </row>
    <row r="4">
      <c r="A4" s="12" t="inlineStr">
        <is>
          <t>会話：自然さの平均（1〜5）</t>
        </is>
      </c>
      <c r="B4" s="14">
        <f>IFERROR(AVERAGE('Conversations'!G3:G69),"-")</f>
        <v/>
      </c>
    </row>
    <row r="5">
      <c r="A5" s="12" t="inlineStr">
        <is>
          <t>会話：自然さ 3 以下の数</t>
        </is>
      </c>
      <c r="B5" s="13">
        <f>COUNTIF('Conversations'!G3:G69,"&lt;=3")</f>
        <v/>
      </c>
    </row>
    <row r="6">
      <c r="A6" s="12" t="inlineStr">
        <is>
          <t>会話：失礼・不自然・誤り「Y」の数</t>
        </is>
      </c>
      <c r="B6" s="13">
        <f>COUNTIF('Conversations'!H3:H69,"Y")</f>
        <v/>
      </c>
    </row>
    <row r="7">
      <c r="A7" s="12" t="inlineStr">
        <is>
          <t>アプリの決まった文：「N」（要修正）の数</t>
        </is>
      </c>
      <c r="B7" s="13">
        <f>COUNTIF('App fixed texts'!F3:F59,"N")</f>
        <v/>
      </c>
    </row>
    <row r="8">
      <c r="A8" s="12" t="inlineStr">
        <is>
          <t>紹介ページ：「N」（要修正）の数</t>
        </is>
      </c>
      <c r="B8" s="13">
        <f>COUNTIF('Landing page'!E3:E113,"N")</f>
        <v/>
      </c>
    </row>
    <row r="9">
      <c r="A9" s="11" t="inlineStr">
        <is>
          <t>目安：平均 4 以上・「Y」と「N」が 0 なら、この言語で公開してよい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2026-10-16T08:11:33Z</dcterms:created>
  <dcterms:modified xsi:type="dcterms:W3CDTF">2026-10-16T08:11:33Z</dcterms:modified>
</cp:coreProperties>
</file>